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fireh\Documents\GitHub\2023-24a-fai1-adsai-Ibrahimabdo231018\deliverables\"/>
    </mc:Choice>
  </mc:AlternateContent>
  <xr:revisionPtr revIDLastSave="0" documentId="13_ncr:1_{9D102491-AC6F-4F03-B6D4-30CC8A952707}" xr6:coauthVersionLast="47" xr6:coauthVersionMax="47" xr10:uidLastSave="{00000000-0000-0000-0000-000000000000}"/>
  <bookViews>
    <workbookView xWindow="4245" yWindow="-16320" windowWidth="29040" windowHeight="15720" xr2:uid="{00000000-000D-0000-FFFF-FFFF00000000}"/>
  </bookViews>
  <sheets>
    <sheet name="Worklog_Tasks&amp;Times" sheetId="1" r:id="rId1"/>
    <sheet name="Overview" sheetId="2" r:id="rId2"/>
    <sheet name="Drop-downs" sheetId="3" r:id="rId3"/>
  </sheets>
  <definedNames>
    <definedName name="_xlnm._FilterDatabase" localSheetId="0" hidden="1">'Worklog_Tasks&amp;Times'!$A$1:$K$18</definedName>
    <definedName name="_xlnm.Print_Area" localSheetId="0">'Worklog_Tasks&amp;Times'!$A$1:$K$167</definedName>
    <definedName name="Z_8BAC9A6B_5D32_4E8D_967D_E17D357516F8_.wvu.FilterData" localSheetId="0" hidden="1">'Worklog_Tasks&amp;Times'!$A$1:$K$18</definedName>
  </definedNames>
  <calcPr calcId="191028"/>
  <customWorkbookViews>
    <customWorkbookView name="TODO" guid="{8BAC9A6B-5D32-4E8D-967D-E17D357516F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7" i="1" l="1"/>
  <c r="I126" i="1"/>
  <c r="I125" i="1"/>
  <c r="I124" i="1"/>
  <c r="I123" i="1"/>
  <c r="I149" i="1"/>
  <c r="I148" i="1"/>
  <c r="I11" i="1" l="1"/>
  <c r="I147" i="1"/>
  <c r="I146" i="1"/>
  <c r="I145" i="1"/>
  <c r="I110" i="1"/>
  <c r="I109" i="1"/>
  <c r="I108" i="1"/>
  <c r="I107" i="1"/>
  <c r="I106" i="1"/>
  <c r="I105" i="1"/>
  <c r="I104" i="1"/>
  <c r="I103" i="1"/>
  <c r="I102" i="1"/>
  <c r="I101" i="1"/>
  <c r="I100" i="1"/>
  <c r="I99" i="1"/>
  <c r="I98" i="1"/>
  <c r="I97" i="1"/>
  <c r="I83" i="1"/>
  <c r="I82" i="1"/>
  <c r="I81" i="1"/>
  <c r="I80" i="1"/>
  <c r="I77" i="1"/>
  <c r="I76" i="1" l="1"/>
  <c r="I75" i="1"/>
  <c r="I74" i="1"/>
  <c r="I73" i="1"/>
  <c r="I72" i="1"/>
  <c r="I70" i="1"/>
  <c r="I69" i="1"/>
  <c r="I68" i="1"/>
  <c r="I55" i="1" l="1"/>
  <c r="I54" i="1"/>
  <c r="I53" i="1"/>
  <c r="I52" i="1"/>
  <c r="I49" i="1"/>
  <c r="I51" i="1"/>
  <c r="I50" i="1"/>
  <c r="I10" i="1" l="1"/>
  <c r="I9" i="1"/>
  <c r="H18" i="1"/>
  <c r="I17" i="1"/>
  <c r="G18" i="1"/>
  <c r="B9" i="2"/>
  <c r="B8" i="2"/>
  <c r="K8" i="2"/>
  <c r="J10" i="2"/>
  <c r="I10" i="2"/>
  <c r="H10" i="2"/>
  <c r="G10" i="2"/>
  <c r="F10" i="2"/>
  <c r="E10" i="2"/>
  <c r="D10" i="2"/>
  <c r="K9" i="2"/>
  <c r="K7" i="2"/>
  <c r="B7" i="2"/>
  <c r="K6" i="2"/>
  <c r="B6" i="2"/>
  <c r="K5" i="2"/>
  <c r="B5" i="2"/>
  <c r="C4" i="2"/>
  <c r="K4" i="2" s="1"/>
  <c r="B4" i="2"/>
  <c r="K3" i="2"/>
  <c r="B3" i="2"/>
  <c r="H165" i="1"/>
  <c r="G165" i="1"/>
  <c r="I164" i="1"/>
  <c r="I163" i="1"/>
  <c r="I162" i="1"/>
  <c r="I161" i="1"/>
  <c r="I160" i="1"/>
  <c r="I159" i="1"/>
  <c r="I158" i="1"/>
  <c r="I157" i="1"/>
  <c r="H153" i="1"/>
  <c r="G153" i="1"/>
  <c r="I144" i="1"/>
  <c r="I143" i="1"/>
  <c r="I142" i="1"/>
  <c r="I141" i="1"/>
  <c r="I140" i="1"/>
  <c r="I139" i="1"/>
  <c r="I138" i="1"/>
  <c r="I137" i="1"/>
  <c r="H133" i="1"/>
  <c r="G133" i="1"/>
  <c r="I122" i="1"/>
  <c r="I121" i="1"/>
  <c r="I120" i="1"/>
  <c r="I119" i="1"/>
  <c r="I118" i="1"/>
  <c r="I117" i="1"/>
  <c r="I115" i="1"/>
  <c r="H111" i="1"/>
  <c r="G111" i="1"/>
  <c r="I96" i="1"/>
  <c r="I95" i="1"/>
  <c r="I94" i="1"/>
  <c r="I93" i="1"/>
  <c r="I92" i="1"/>
  <c r="I91" i="1"/>
  <c r="I90" i="1"/>
  <c r="I89" i="1"/>
  <c r="I88" i="1"/>
  <c r="H84" i="1"/>
  <c r="G84" i="1"/>
  <c r="I79" i="1"/>
  <c r="I78" i="1"/>
  <c r="I71" i="1"/>
  <c r="I67" i="1"/>
  <c r="I66" i="1"/>
  <c r="I65" i="1"/>
  <c r="I64" i="1"/>
  <c r="H60" i="1"/>
  <c r="G60" i="1"/>
  <c r="I59" i="1"/>
  <c r="I58" i="1"/>
  <c r="I57" i="1"/>
  <c r="I56" i="1"/>
  <c r="I48" i="1"/>
  <c r="I47" i="1"/>
  <c r="I46" i="1"/>
  <c r="I45" i="1"/>
  <c r="I44" i="1"/>
  <c r="H40" i="1"/>
  <c r="G40" i="1"/>
  <c r="I36" i="1"/>
  <c r="I31" i="1"/>
  <c r="I28" i="1"/>
  <c r="I27" i="1"/>
  <c r="I26" i="1"/>
  <c r="I25" i="1"/>
  <c r="I24" i="1"/>
  <c r="I23" i="1"/>
  <c r="I22" i="1"/>
  <c r="I16" i="1"/>
  <c r="I15" i="1"/>
  <c r="I14" i="1"/>
  <c r="I13" i="1"/>
  <c r="I12" i="1"/>
  <c r="I8" i="1"/>
  <c r="I7" i="1"/>
  <c r="I6" i="1"/>
  <c r="I5" i="1"/>
  <c r="I111" i="1" l="1"/>
  <c r="H167" i="1"/>
  <c r="I18" i="1"/>
  <c r="I40" i="1"/>
  <c r="I60" i="1"/>
  <c r="I84" i="1"/>
  <c r="I133" i="1"/>
  <c r="I153" i="1"/>
  <c r="I165" i="1"/>
  <c r="C10" i="2"/>
  <c r="G167" i="1"/>
  <c r="I167" i="1" l="1"/>
</calcChain>
</file>

<file path=xl/sharedStrings.xml><?xml version="1.0" encoding="utf-8"?>
<sst xmlns="http://schemas.openxmlformats.org/spreadsheetml/2006/main" count="801" uniqueCount="257">
  <si>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</si>
  <si>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</si>
  <si>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</si>
  <si>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</si>
  <si>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</si>
  <si>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</si>
  <si>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</si>
  <si>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</si>
  <si>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</si>
  <si>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</si>
  <si>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</si>
  <si>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</si>
  <si>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</si>
  <si>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</si>
  <si>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</si>
  <si>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</si>
  <si>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Done</t>
  </si>
  <si>
    <t>Total Hours</t>
  </si>
  <si>
    <t>Week 2</t>
  </si>
  <si>
    <t>[Enter known possible issues that are a risk for you to finish the high level week planning] - if any</t>
  </si>
  <si>
    <t>Week 3</t>
  </si>
  <si>
    <t xml:space="preserve">Week 4 </t>
  </si>
  <si>
    <t xml:space="preserve">Week 5 </t>
  </si>
  <si>
    <t xml:space="preserve">Week 6 </t>
  </si>
  <si>
    <t xml:space="preserve">Week 8 </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</si>
  <si>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</si>
  <si>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</si>
  <si>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</si>
  <si>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</si>
  <si>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</si>
  <si>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</si>
  <si>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</si>
  <si>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</si>
  <si>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</si>
  <si>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</si>
  <si>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</si>
  <si>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</si>
  <si>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</si>
  <si>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rPr>
        <i/>
        <sz val="10"/>
        <rFont val="Arial"/>
        <family val="2"/>
      </rPr>
      <t xml:space="preserve">Use a formula like this to get your data from Worklog sheet : </t>
    </r>
    <r>
      <rPr>
        <sz val="10"/>
        <color rgb="FF000000"/>
        <rFont val="Arial"/>
        <family val="2"/>
      </rPr>
      <t xml:space="preserve">
=IFERROR(SUM(FILTER('Worklog_Tasks&amp;Times'!$H$5:$H$14,'Worklog_Tasks&amp;Times'!$F$5:$F$14=$B4)),0)</t>
    </r>
  </si>
  <si>
    <t>Task Status</t>
  </si>
  <si>
    <t>ILO selection</t>
  </si>
  <si>
    <t>-</t>
  </si>
  <si>
    <t>Planned</t>
  </si>
  <si>
    <t>Design</t>
  </si>
  <si>
    <t>ILO 1.3</t>
  </si>
  <si>
    <t>Unplanned</t>
  </si>
  <si>
    <t>Meeting</t>
  </si>
  <si>
    <t>ILO 2.4</t>
  </si>
  <si>
    <t>Blocked</t>
  </si>
  <si>
    <t>Programming</t>
  </si>
  <si>
    <t>ILO 3.1</t>
  </si>
  <si>
    <t>In-Progress</t>
  </si>
  <si>
    <t>Research</t>
  </si>
  <si>
    <t>ILO 4.1</t>
  </si>
  <si>
    <t>Testing</t>
  </si>
  <si>
    <t>ILO 4.2</t>
  </si>
  <si>
    <t>Delayed</t>
  </si>
  <si>
    <t>Workshop</t>
  </si>
  <si>
    <t>ILO 5.1</t>
  </si>
  <si>
    <t>Cancelled</t>
  </si>
  <si>
    <t>Planning</t>
  </si>
  <si>
    <t>Evidencing</t>
  </si>
  <si>
    <t>Debugging</t>
  </si>
  <si>
    <t>Lecture</t>
  </si>
  <si>
    <t>Study</t>
  </si>
  <si>
    <t>Distraction</t>
  </si>
  <si>
    <t>Break</t>
  </si>
  <si>
    <t>Philosophy of AI &amp; Information Literacy</t>
  </si>
  <si>
    <t>DataLab I: Creative Brief</t>
  </si>
  <si>
    <t>Minority Report</t>
  </si>
  <si>
    <t>A day in a life of data scientist</t>
  </si>
  <si>
    <t>programing variables and conditionals</t>
  </si>
  <si>
    <t>Q &amp; A stand up</t>
  </si>
  <si>
    <t> Review independent study material (starts at 9:30)</t>
  </si>
  <si>
    <t>Presenting</t>
  </si>
  <si>
    <t>Delivering a presentation</t>
  </si>
  <si>
    <t>quiz</t>
  </si>
  <si>
    <t xml:space="preserve">History of artificial intellegence </t>
  </si>
  <si>
    <t xml:space="preserve">github </t>
  </si>
  <si>
    <t>Introduction : intelligent agents and conversational AI</t>
  </si>
  <si>
    <t xml:space="preserve">intelligent agents </t>
  </si>
  <si>
    <t xml:space="preserve">conversational AI </t>
  </si>
  <si>
    <t xml:space="preserve"> Introduction Creative Brief &amp; Turing Test</t>
  </si>
  <si>
    <t>stand up</t>
  </si>
  <si>
    <t xml:space="preserve">the turing test </t>
  </si>
  <si>
    <t>a day of a life of a analytics translator</t>
  </si>
  <si>
    <t xml:space="preserve">ILO walkthrough </t>
  </si>
  <si>
    <t>Introduction  taxonomy of AI</t>
  </si>
  <si>
    <t>data camp courses</t>
  </si>
  <si>
    <t xml:space="preserve">data analysis </t>
  </si>
  <si>
    <t>Programming: Functions and Loop</t>
  </si>
  <si>
    <t>introduction :creative brief and feedback</t>
  </si>
  <si>
    <t>Review independent study materia</t>
  </si>
  <si>
    <t>Feedback</t>
  </si>
  <si>
    <t xml:space="preserve"> practice time :  feedback workshop </t>
  </si>
  <si>
    <t xml:space="preserve">quizz </t>
  </si>
  <si>
    <t>Intelligent Agents and conversational AI</t>
  </si>
  <si>
    <t>creative brief and turing tes</t>
  </si>
  <si>
    <t>Taxonomy of AI</t>
  </si>
  <si>
    <t>DataLab II: Creative Brief &amp; Feedbac</t>
  </si>
  <si>
    <t>Philosophy of AI &amp; Information literacy</t>
  </si>
  <si>
    <t>History of AI &amp; GitHub</t>
  </si>
  <si>
    <t> Programming: Variables and Conditionals</t>
  </si>
  <si>
    <t>DataLab II: Creative Brief &amp; Presenting</t>
  </si>
  <si>
    <t>Taxonomy of AI II &amp; State-of-the-art AI</t>
  </si>
  <si>
    <t xml:space="preserve">introduction </t>
  </si>
  <si>
    <t>Taxonomy of AI: Domains, subdomains, and keywords</t>
  </si>
  <si>
    <t>State-of-the-art AI</t>
  </si>
  <si>
    <t xml:space="preserve">In this part we get to know more about AI domains and Subdomains </t>
  </si>
  <si>
    <t>Creative Brief</t>
  </si>
  <si>
    <t>Q&amp;A and Standup</t>
  </si>
  <si>
    <t>a day of a life of a Data engineer</t>
  </si>
  <si>
    <t>Guest lectures</t>
  </si>
  <si>
    <t>DataLab tasks</t>
  </si>
  <si>
    <t>Risks &amp; Benefits of AI</t>
  </si>
  <si>
    <t> Introduction to data ethics</t>
  </si>
  <si>
    <t>Introduction to data ethics 2</t>
  </si>
  <si>
    <t> Data Structures I</t>
  </si>
  <si>
    <t>strings</t>
  </si>
  <si>
    <t>lists</t>
  </si>
  <si>
    <t>I have learned in this section about the ethics in AI algorithms and the different uses of AI in benifitial way or bad using</t>
  </si>
  <si>
    <t>AI in Science Fiction' presentations</t>
  </si>
  <si>
    <t>Review independent study material</t>
  </si>
  <si>
    <t xml:space="preserve">DATA lab task finalizing  </t>
  </si>
  <si>
    <t>‘AI in Science Fiction' presentations</t>
  </si>
  <si>
    <t>presentaion</t>
  </si>
  <si>
    <t>we were able to make a presnetaion and give a feed back on what we had learned on this block</t>
  </si>
  <si>
    <t>Quantifying our World into Data</t>
  </si>
  <si>
    <t>Data Science Introduction Lecture</t>
  </si>
  <si>
    <t>Preparation for DataLab:</t>
  </si>
  <si>
    <t>What will you be doing for Data Science?</t>
  </si>
  <si>
    <t>4) Workshop: Introduction to PowerBI</t>
  </si>
  <si>
    <t>Bad time management is my main concern</t>
  </si>
  <si>
    <t>Datalab 00: SDG indicators</t>
  </si>
  <si>
    <t>26//9/23</t>
  </si>
  <si>
    <t>Stand-up</t>
  </si>
  <si>
    <t>Datalab Preparation review; Quantifying our World into Data</t>
  </si>
  <si>
    <t>SDG Lecture</t>
  </si>
  <si>
    <t>Forming a Problem Statement</t>
  </si>
  <si>
    <t>Forming a Research question</t>
  </si>
  <si>
    <t>Mentor Group discussion</t>
  </si>
  <si>
    <t>I was able to understand how to describe the data and give a data driven decision</t>
  </si>
  <si>
    <t>https://edubuas-my.sharepoint.com/personal/234051_buas_nl/_layouts/15/stream.aspx?id=%2Fpersonal%2F234051%5Fbuas%5Fnl%2FDocuments%2FMicrosoft%20Teams%20Chat%20Files%2FPXL%5F20230922%5F112725537%2ETS%2Emp4&amp;referrer=OfficeHome%2EWeb&amp;referrerScenario=RecentVideo%2EView</t>
  </si>
  <si>
    <t>Writing an data-driven research question</t>
  </si>
  <si>
    <t>Intro to Variables and Data Transformation</t>
  </si>
  <si>
    <t>Introduction to concepts</t>
  </si>
  <si>
    <t>Datalab Preparation</t>
  </si>
  <si>
    <t>I was able to finish the course of how to use "power bi"</t>
  </si>
  <si>
    <t>Data Structures II</t>
  </si>
  <si>
    <t>Dictionaries.ipynb</t>
  </si>
  <si>
    <t>Tuples.ipynb</t>
  </si>
  <si>
    <t>Datalab 01: Exploratory Data Analysis 1</t>
  </si>
  <si>
    <t>1. Datalab Preparation Review: 0.5 Hours</t>
  </si>
  <si>
    <t>1. Exploratory Data Analysis workshop: 2-3 Hours</t>
  </si>
  <si>
    <t>1. Exploratory Data Analysis on SDG Indicators dataset: remaining hours</t>
  </si>
  <si>
    <t>Day reflection</t>
  </si>
  <si>
    <t>Introduction to Descriptive Statistics</t>
  </si>
  <si>
    <t>Hands-on Datacamp Course</t>
  </si>
  <si>
    <t>Introduction to Visualizations</t>
  </si>
  <si>
    <t>Hands-on application</t>
  </si>
  <si>
    <t>DataLab Preparation</t>
  </si>
  <si>
    <t>Descriptive Analyses &amp; Visualisations</t>
  </si>
  <si>
    <t>Datalab 02: Exploratory Data Analysis 2</t>
  </si>
  <si>
    <t>Standup with Mentor Group</t>
  </si>
  <si>
    <t>DataLab Preparation Review</t>
  </si>
  <si>
    <t>EDA on chosen SDG data</t>
  </si>
  <si>
    <t>Guest Lecture (Fe.1.016</t>
  </si>
  <si>
    <t>Weeks 9, 10 Challenges Info</t>
  </si>
  <si>
    <t>End of the day reflection</t>
  </si>
  <si>
    <t>General Data Reporting</t>
  </si>
  <si>
    <t>Data Reporting in Power BI</t>
  </si>
  <si>
    <t>Advanced data visualizations</t>
  </si>
  <si>
    <t>Reporting and Visualising Data</t>
  </si>
  <si>
    <t>https://github.com/BredaUniversityADSAI/2023-24a-fai1-adsai-Ibrahimabdo231018/blob/main/certificates/Data%20Reporting%20in%20Power%20BI.png</t>
  </si>
  <si>
    <t>https://github.com/BredaUniversityADSAI/2023-24a-fai1-adsai-Ibrahimabdo231018/blob/main/certificates/CertificateOfCompletion_Learning%20Data%20Science%20Tell%20Stories%20With%20Data.pdf</t>
  </si>
  <si>
    <t>Files and Data</t>
  </si>
  <si>
    <t> Files.ipynb </t>
  </si>
  <si>
    <t>Data analysis.ipynb</t>
  </si>
  <si>
    <t>Findings &amp; Data Visualisations</t>
  </si>
  <si>
    <t>Feedback session</t>
  </si>
  <si>
    <t>Enhancing your dashboard </t>
  </si>
  <si>
    <t>Variability</t>
  </si>
  <si>
    <t>not finishing on time , because I have a lot of work to do.</t>
  </si>
  <si>
    <t>`9/10/23</t>
  </si>
  <si>
    <t>Foundational Concepts of Variability</t>
  </si>
  <si>
    <t>Introduction to Guided Case Study</t>
  </si>
  <si>
    <t>Datalab 05: Presenting and Storytelling with Data</t>
  </si>
  <si>
    <t>Presentation skills Preparation</t>
  </si>
  <si>
    <t>Data Driven Story Telling</t>
  </si>
  <si>
    <t>Presentation skills (Continued</t>
  </si>
  <si>
    <t>https://github.com/BredaUniversityADSAI/2023-24a-fai1-adsai-Ibrahimabdo231018/blob/main/certificates/Guided%20Case%20Study%20-%20Customer%20Churn.pdf</t>
  </si>
  <si>
    <t xml:space="preserve"> Data Modeling in Power BI</t>
  </si>
  <si>
    <t>Analysing Relationships between Variable</t>
  </si>
  <si>
    <t xml:space="preserve"> Correlations - DataLab Preparation</t>
  </si>
  <si>
    <t xml:space="preserve"> Regression - DataLab Preparation </t>
  </si>
  <si>
    <t>DataLab II: Discussion</t>
  </si>
  <si>
    <t>Feedback session on all 3 dashboards</t>
  </si>
  <si>
    <t>Guest Lecture</t>
  </si>
  <si>
    <t>Recommendations for future analyses</t>
  </si>
  <si>
    <t>In-Class discussion</t>
  </si>
  <si>
    <t>Algorithms</t>
  </si>
  <si>
    <t> "Introduction to Algorithms"</t>
  </si>
  <si>
    <t>11. Algorithms.ipynb</t>
  </si>
  <si>
    <t>Explanatory versus Predictive Modelling and Writing a Conclusion</t>
  </si>
  <si>
    <t>Difference between descriptive, predictive and explanatory analyses</t>
  </si>
  <si>
    <t>Introduction to Big Data</t>
  </si>
  <si>
    <t>Good and bad prediction</t>
  </si>
  <si>
    <t>Reporting best practice</t>
  </si>
  <si>
    <t>Conclusio</t>
  </si>
  <si>
    <t>Referencin</t>
  </si>
  <si>
    <t>Python Exam &amp;Dashboard feedback</t>
  </si>
  <si>
    <t>Writing a conclusion</t>
  </si>
  <si>
    <t>End of the day reflectio</t>
  </si>
  <si>
    <t>Algorithms II - LeetCode</t>
  </si>
  <si>
    <t>LeetCode and create an account.</t>
  </si>
  <si>
    <t>Datalab 06: CRISP-DM; Iteration</t>
  </si>
  <si>
    <t>Iterating using CRISP-DM </t>
  </si>
  <si>
    <t>Presenting and Storytelling with Data</t>
  </si>
  <si>
    <t>1. Workshop User-Oriented Design in Power BI: 3 hours</t>
  </si>
  <si>
    <t>Workshop on dashboard UX</t>
  </si>
  <si>
    <t>https://github.com/BredaUniversityADSAI/2023-24a-fai1-adsai-Ibrahimabdo231018/blob/main/certificates/user_oriented%20design%20in%20power%20bi.pdf</t>
  </si>
  <si>
    <t>Advanced Power BI</t>
  </si>
  <si>
    <t>Know about the Data Analyst career track</t>
  </si>
  <si>
    <t>Intermediate Data Modelin</t>
  </si>
  <si>
    <t>Working on Dashboard</t>
  </si>
  <si>
    <t>https://github.com/BredaUniversityADSAI/2023-24a-fai1-adsai-Ibrahimabdo231018/tree/main/Feedbacks/the%20hıstory%20of%20AI%20mılestone</t>
  </si>
  <si>
    <t>https://github.com/BredaUniversityADSAI/2023-24a-fai1-adsai-Ibrahimabdo231018/blob/main/certificates/Turing%20test.png</t>
  </si>
  <si>
    <t>https://github.com/BredaUniversityADSAI/2023-24a-fai1-adsai-Ibrahimabdo231018/blob/main/certificates/Introdyction%20to%20data.png</t>
  </si>
  <si>
    <t>https://github.com/BredaUniversityADSAI/2023-24a-fai1-adsai-Ibrahimabdo231018/blob/main/certificates/Introduction%20to%20data%20literacy.png</t>
  </si>
  <si>
    <t>https://github.com/BredaUniversityADSAI/2023-24a-fai1-adsai-Ibrahimabdo231018/blob/main/certificates/CertificateOfCompletion_Giving%20and%20Receiving%20Feedback.pdf</t>
  </si>
  <si>
    <t>https://github.com/BredaUniversityADSAI/2023-24a-fai1-adsai-Ibrahimabdo231018/blob/main/Tasks/Domain%20and%20subdomains%20in%20AI.jpg</t>
  </si>
  <si>
    <t>https://github.com/BredaUniversityADSAI/2023-24a-fai1-adsai-Ibrahimabdo231018/blob/main/Tasks/Creative%20brief%20quizz.png</t>
  </si>
  <si>
    <t>https://github.com/BredaUniversityADSAI/2023-24a-fai1-adsai-Ibrahimabdo231018/blob/main/Tasks/IntroToDataEthicsModule1%20Copy.pdf</t>
  </si>
  <si>
    <t>https://github.com/BredaUniversityADSAI/2023-24a-fai1-adsai-Ibrahimabdo231018/blob/main/deliverables/AI%20in%20Minority%20Report.pdf</t>
  </si>
  <si>
    <t>https://github.com/BredaUniversityADSAI/2023-24a-fai1-adsai-Ibrahimabdo231018/blob/main/Tasks/231018_SDG%20indicators_week4datalab1.1.txt</t>
  </si>
  <si>
    <t>https://github.com/BredaUniversityADSAI/2023-24a-fai1-adsai-Ibrahimabdo231018/blob/main/Tasks/the%20different%20ways%20you%20can%20get%20started%20writing%20your%20problem%20statement..txt</t>
  </si>
  <si>
    <t>https://github.com/BredaUniversityADSAI/2023-24a-fai1-adsai-Ibrahimabdo231018/blob/main/Tasks/VariablesDatalabPreparation.pbix</t>
  </si>
  <si>
    <t>https://github.com/BredaUniversityADSAI/2023-24a-fai1-adsai-Ibrahimabdo231018/blob/main/certificates/Introduction%20to%20Power%20BI.pdf</t>
  </si>
  <si>
    <t>https://github.com/BredaUniversityADSAI/2023-24a-fai1-adsai-Ibrahimabdo231018/tree/main/Tasks/Variability</t>
  </si>
  <si>
    <t>https://github.com/BredaUniversityADSAI/2023-24a-fai1-adsai-Ibrahimabdo231018/blob/main/certificates/Data%20modeling%20in%20power%20bi.png</t>
  </si>
  <si>
    <t>https://github.com/BredaUniversityADSAI/2023-24a-fai1-adsai-Ibrahimabdo231018/blob/main/certificates/Report%20design%20in%20power%20bi.png</t>
  </si>
  <si>
    <t>PowerBi Dashboard</t>
  </si>
  <si>
    <t>Feedback session with peers</t>
  </si>
  <si>
    <t>https://github.com/BredaUniversityADSAI/2023-24a-fai1-adsai-Ibrahimabdo231018/blob/main/Feedbacks/pre-powerbi-final%20presentaion/3d9a0962-4ee6-4186-a868-7aabb57a1043.pdf</t>
  </si>
  <si>
    <t>Iterating on my Dashboard</t>
  </si>
  <si>
    <t>Final touches</t>
  </si>
  <si>
    <t>Finalizing my working and learning log</t>
  </si>
  <si>
    <t>ILOs</t>
  </si>
  <si>
    <t>helping peers</t>
  </si>
  <si>
    <t>providing help to others with their dashboard and their logs</t>
  </si>
  <si>
    <t>https://github.com/BredaUniversityADSAI/2023-24a-fai1-adsai-Ibrahimabdo231018/blob/main/Tasks/Helping%20peers%20in%20thier%20tasks.png</t>
  </si>
  <si>
    <t>https://github.com/BredaUniversityADSAI/2023-24a-fai1-adsai-Ibrahimabdo231018/blob/main/certificates/Introduction%20to%20DAX%20in%20Power%20Bi.png</t>
  </si>
  <si>
    <t>https://github.com/BredaUniversityADSAI/2023-24a-fai1-adsai-Ibrahimabdo231018/blob/main/certificates/data%20visualization%20in%20power%20bi.pdf</t>
  </si>
  <si>
    <t>https://github.com/BredaUniversityADSAI/2023-24a-fai1-adsai-Ibrahimabdo231018/blob/main/certificates/exploratory%20data%20analysis%20in%20power%20bi.pdf</t>
  </si>
  <si>
    <t>https://github.com/BredaUniversityADSAI/2023-24a-fai1-adsai-Ibrahimabdo231018/blob/main/certificates/Intermediate%20Data%20Modeling%20in%20Power%20BI.png</t>
  </si>
  <si>
    <t>Advanced Power Bi</t>
  </si>
  <si>
    <t>https://github.com/BredaUniversityADSAI/2023-24a-fai1-adsai-Ibrahimabdo231018/blob/main/Tasks/231018_IbrahimAbdo_CorrelationDatalabPreparation_Week6_Day3.pbix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</si>
</sst>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20"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i/>
      <sz val="10"/>
      <name val="Arial"/>
      <family val="2"/>
    </font>
    <font>
      <sz val="10"/>
      <color rgb="FF000000"/>
      <name val="Arial"/>
      <family val="2"/>
    </font>
    <font>
      <u/>
      <sz val="10"/>
      <color theme="10"/>
      <name val="Arial"/>
      <family val="2"/>
    </font>
    <font>
      <sz val="12.5"/>
      <color rgb="FF3C454E"/>
      <name val="Arial"/>
      <family val="2"/>
    </font>
    <font>
      <sz val="12.5"/>
      <color rgb="FF3C454E"/>
      <name val="Arial"/>
      <family val="2"/>
    </font>
    <font>
      <sz val="8"/>
      <color rgb="FF3C454E"/>
      <name val="Segoe UI"/>
      <family val="2"/>
    </font>
    <font>
      <sz val="9"/>
      <color rgb="FF000000"/>
      <name val="Arial"/>
      <family val="2"/>
    </font>
    <font>
      <sz val="8"/>
      <color rgb="FF3C454E"/>
      <name val="Segoe UI"/>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4" fillId="0" borderId="0" applyNumberFormat="0" applyFill="0" applyBorder="0" applyAlignment="0" applyProtection="0"/>
  </cellStyleXfs>
  <cellXfs count="81">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10" fillId="0" borderId="0" xfId="0" applyFont="1" applyAlignment="1">
      <alignment horizontal="left"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8" fillId="0" borderId="7" xfId="0" applyFont="1" applyBorder="1" applyAlignment="1">
      <alignment horizontal="lef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14" fillId="0" borderId="0" xfId="1" applyAlignment="1">
      <alignment horizontal="left" vertical="center" wrapText="1" indent="1"/>
    </xf>
    <xf numFmtId="0" fontId="15" fillId="0" borderId="0" xfId="0" applyFont="1" applyAlignment="1">
      <alignment vertical="center" wrapText="1"/>
    </xf>
    <xf numFmtId="0" fontId="5" fillId="0" borderId="3" xfId="0" applyFont="1" applyBorder="1"/>
    <xf numFmtId="0" fontId="5" fillId="0" borderId="2" xfId="0" applyFont="1" applyBorder="1"/>
    <xf numFmtId="0" fontId="5" fillId="0" borderId="6" xfId="0" applyFont="1" applyBorder="1"/>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4" borderId="5" xfId="0" applyFont="1" applyFill="1" applyBorder="1" applyAlignment="1">
      <alignment wrapText="1"/>
    </xf>
    <xf numFmtId="0" fontId="7" fillId="14" borderId="3" xfId="0" applyFont="1" applyFill="1" applyBorder="1"/>
    <xf numFmtId="0" fontId="5" fillId="0" borderId="8" xfId="0" applyFont="1" applyBorder="1"/>
    <xf numFmtId="0" fontId="7" fillId="14" borderId="3" xfId="0" applyFont="1" applyFill="1" applyBorder="1" applyAlignment="1">
      <alignment vertical="center"/>
    </xf>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7" fillId="13" borderId="5" xfId="0" applyFont="1" applyFill="1" applyBorder="1" applyAlignment="1">
      <alignment vertical="center"/>
    </xf>
    <xf numFmtId="0" fontId="16" fillId="0" borderId="0" xfId="0" applyFont="1" applyAlignment="1">
      <alignment vertical="center" wrapText="1"/>
    </xf>
    <xf numFmtId="0" fontId="17" fillId="0" borderId="0" xfId="0" applyFont="1"/>
    <xf numFmtId="0" fontId="14" fillId="0" borderId="0" xfId="1" applyAlignment="1">
      <alignment horizontal="left" vertical="top"/>
    </xf>
    <xf numFmtId="2" fontId="8" fillId="0" borderId="0" xfId="0" applyNumberFormat="1" applyFont="1" applyAlignment="1">
      <alignment horizontal="right" vertical="top"/>
    </xf>
    <xf numFmtId="2" fontId="10" fillId="0" borderId="0" xfId="0" applyNumberFormat="1" applyFont="1" applyAlignment="1">
      <alignment horizontal="left" vertical="top"/>
    </xf>
    <xf numFmtId="14" fontId="18" fillId="0" borderId="0" xfId="0" applyNumberFormat="1" applyFont="1"/>
    <xf numFmtId="0" fontId="19" fillId="0" borderId="0" xfId="0" applyFont="1"/>
    <xf numFmtId="0" fontId="4" fillId="3" borderId="3" xfId="0" applyFont="1" applyFill="1" applyBorder="1" applyAlignment="1">
      <alignment horizontal="left" vertical="center" wrapText="1"/>
    </xf>
    <xf numFmtId="0" fontId="5" fillId="0" borderId="3" xfId="0" applyFont="1" applyBorder="1"/>
    <xf numFmtId="0" fontId="7" fillId="3" borderId="5" xfId="0" applyFont="1" applyFill="1" applyBorder="1" applyAlignment="1">
      <alignment vertical="center"/>
    </xf>
    <xf numFmtId="0" fontId="5" fillId="0" borderId="2" xfId="0" applyFont="1" applyBorder="1"/>
    <xf numFmtId="0" fontId="5" fillId="0" borderId="6" xfId="0" applyFont="1" applyBorder="1"/>
    <xf numFmtId="0" fontId="11" fillId="6" borderId="0" xfId="0" applyFont="1" applyFill="1" applyAlignment="1">
      <alignment vertical="top" wrapText="1"/>
    </xf>
    <xf numFmtId="0" fontId="0" fillId="0" borderId="0" xfId="0"/>
    <xf numFmtId="0" fontId="5" fillId="7" borderId="0" xfId="0" applyFont="1" applyFill="1"/>
  </cellXfs>
  <cellStyles count="2">
    <cellStyle name="Hyperlink" xfId="1" builtinId="8"/>
    <cellStyle name="Normal" xfId="0" builtinId="0"/>
  </cellStyles>
  <dxfs count="18">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BredaUniversityADSAI/2023-24a-fai1-adsai-Ibrahimabdo231018/blob/main/certificates/Introduction%20to%20data%20literacy.png" TargetMode="External"/><Relationship Id="rId13" Type="http://schemas.openxmlformats.org/officeDocument/2006/relationships/hyperlink" Target="https://github.com/BredaUniversityADSAI/2023-24a-fai1-adsai-Ibrahimabdo231018/blob/main/Tasks/231018_SDG%20indicators_week4datalab1.1.txt" TargetMode="External"/><Relationship Id="rId18" Type="http://schemas.openxmlformats.org/officeDocument/2006/relationships/hyperlink" Target="https://github.com/BredaUniversityADSAI/2023-24a-fai1-adsai-Ibrahimabdo231018/blob/main/certificates/Data%20Reporting%20in%20Power%20BI.png" TargetMode="External"/><Relationship Id="rId26" Type="http://schemas.openxmlformats.org/officeDocument/2006/relationships/hyperlink" Target="https://github.com/BredaUniversityADSAI/2023-24a-fai1-adsai-Ibrahimabdo231018/blob/main/certificates/Introduction%20to%20DAX%20in%20Power%20Bi.png" TargetMode="External"/><Relationship Id="rId3" Type="http://schemas.openxmlformats.org/officeDocument/2006/relationships/hyperlink" Target="https://github.com/BredaUniversityADSAI/2023-24a-fai1-adsai-Ibrahimabdo231018/blob/main/certificates/CertificateOfCompletion_Giving%20and%20Receiving%20Feedback.pdf" TargetMode="External"/><Relationship Id="rId21" Type="http://schemas.openxmlformats.org/officeDocument/2006/relationships/hyperlink" Target="https://github.com/BredaUniversityADSAI/2023-24a-fai1-adsai-Ibrahimabdo231018/blob/main/certificates/Data%20modeling%20in%20power%20bi.png" TargetMode="External"/><Relationship Id="rId7" Type="http://schemas.openxmlformats.org/officeDocument/2006/relationships/hyperlink" Target="https://github.com/BredaUniversityADSAI/2023-24a-fai1-adsai-Ibrahimabdo231018/blob/main/certificates/Introdyction%20to%20data.png" TargetMode="External"/><Relationship Id="rId12" Type="http://schemas.openxmlformats.org/officeDocument/2006/relationships/hyperlink" Target="https://github.com/BredaUniversityADSAI/2023-24a-fai1-adsai-Ibrahimabdo231018/blob/main/deliverables/AI%20in%20Minority%20Report.pdf" TargetMode="External"/><Relationship Id="rId17" Type="http://schemas.openxmlformats.org/officeDocument/2006/relationships/hyperlink" Target="https://github.com/BredaUniversityADSAI/2023-24a-fai1-adsai-Ibrahimabdo231018/blob/main/certificates/CertificateOfCompletion_Learning%20Data%20Science%20Tell%20Stories%20With%20Data.pdf" TargetMode="External"/><Relationship Id="rId25" Type="http://schemas.openxmlformats.org/officeDocument/2006/relationships/hyperlink" Target="https://github.com/BredaUniversityADSAI/2023-24a-fai1-adsai-Ibrahimabdo231018/blob/main/Tasks/Helping%20peers%20in%20thier%20tasks.png" TargetMode="External"/><Relationship Id="rId2" Type="http://schemas.openxmlformats.org/officeDocument/2006/relationships/hyperlink" Target="https://adsai.buas.nl/Study%20Content/Artificial%20Intelligence/Week1Day2.html" TargetMode="External"/><Relationship Id="rId16" Type="http://schemas.openxmlformats.org/officeDocument/2006/relationships/hyperlink" Target="https://github.com/BredaUniversityADSAI/2023-24a-fai1-adsai-Ibrahimabdo231018/blob/main/certificates/Introduction%20to%20Power%20BI.pdf" TargetMode="External"/><Relationship Id="rId20" Type="http://schemas.openxmlformats.org/officeDocument/2006/relationships/hyperlink" Target="https://github.com/BredaUniversityADSAI/2023-24a-fai1-adsai-Ibrahimabdo231018/tree/main/Tasks/Variability" TargetMode="External"/><Relationship Id="rId29" Type="http://schemas.openxmlformats.org/officeDocument/2006/relationships/hyperlink" Target="https://github.com/BredaUniversityADSAI/2023-24a-fai1-adsai-Ibrahimabdo231018/blob/main/certificates/Intermediate%20Data%20Modeling%20in%20Power%20BI.png" TargetMode="External"/><Relationship Id="rId1" Type="http://schemas.openxmlformats.org/officeDocument/2006/relationships/hyperlink" Target="https://adsai.buas.nl/Study%20Content/Artificial%20Intelligence/Week1Day1.html" TargetMode="External"/><Relationship Id="rId6" Type="http://schemas.openxmlformats.org/officeDocument/2006/relationships/hyperlink" Target="https://github.com/BredaUniversityADSAI/2023-24a-fai1-adsai-Ibrahimabdo231018/blob/main/certificates/Turing%20test.png" TargetMode="External"/><Relationship Id="rId11" Type="http://schemas.openxmlformats.org/officeDocument/2006/relationships/hyperlink" Target="https://github.com/BredaUniversityADSAI/2023-24a-fai1-adsai-Ibrahimabdo231018/blob/main/Tasks/IntroToDataEthicsModule1%20Copy.pdf" TargetMode="External"/><Relationship Id="rId24" Type="http://schemas.openxmlformats.org/officeDocument/2006/relationships/hyperlink" Target="https://github.com/BredaUniversityADSAI/2023-24a-fai1-adsai-Ibrahimabdo231018/blob/main/Feedbacks/pre-powerbi-final%20presentaion/3d9a0962-4ee6-4186-a868-7aabb57a1043.pdf" TargetMode="External"/><Relationship Id="rId5" Type="http://schemas.openxmlformats.org/officeDocument/2006/relationships/hyperlink" Target="https://github.com/BredaUniversityADSAI/2023-24a-fai1-adsai-Ibrahimabdo231018/tree/main/Feedbacks/the%20h&#305;story%20of%20AI%20m&#305;lestone" TargetMode="External"/><Relationship Id="rId15" Type="http://schemas.openxmlformats.org/officeDocument/2006/relationships/hyperlink" Target="https://github.com/BredaUniversityADSAI/2023-24a-fai1-adsai-Ibrahimabdo231018/blob/main/Tasks/VariablesDatalabPreparation.pbix" TargetMode="External"/><Relationship Id="rId23" Type="http://schemas.openxmlformats.org/officeDocument/2006/relationships/hyperlink" Target="https://github.com/BredaUniversityADSAI/2023-24a-fai1-adsai-Ibrahimabdo231018/blob/main/certificates/user_oriented%20design%20in%20power%20bi.pdf" TargetMode="External"/><Relationship Id="rId28" Type="http://schemas.openxmlformats.org/officeDocument/2006/relationships/hyperlink" Target="https://github.com/BredaUniversityADSAI/2023-24a-fai1-adsai-Ibrahimabdo231018/blob/main/certificates/exploratory%20data%20analysis%20in%20power%20bi.pdf" TargetMode="External"/><Relationship Id="rId10" Type="http://schemas.openxmlformats.org/officeDocument/2006/relationships/hyperlink" Target="https://github.com/BredaUniversityADSAI/2023-24a-fai1-adsai-Ibrahimabdo231018/blob/main/Tasks/Creative%20brief%20quizz.png" TargetMode="External"/><Relationship Id="rId19" Type="http://schemas.openxmlformats.org/officeDocument/2006/relationships/hyperlink" Target="https://github.com/BredaUniversityADSAI/2023-24a-fai1-adsai-Ibrahimabdo231018/blob/main/certificates/Guided%20Case%20Study%20-%20Customer%20Churn.pdf" TargetMode="External"/><Relationship Id="rId31" Type="http://schemas.openxmlformats.org/officeDocument/2006/relationships/printerSettings" Target="../printerSettings/printerSettings1.bin"/><Relationship Id="rId4" Type="http://schemas.openxmlformats.org/officeDocument/2006/relationships/hyperlink" Target="https://edubuas-my.sharepoint.com/personal/234051_buas_nl/_layouts/15/stream.aspx?id=%2Fpersonal%2F234051%5Fbuas%5Fnl%2FDocuments%2FMicrosoft%20Teams%20Chat%20Files%2FPXL%5F20230922%5F112725537%2ETS%2Emp4&amp;referrer=OfficeHome%2EWeb&amp;referrerScenario=RecentVideo%2EView" TargetMode="External"/><Relationship Id="rId9" Type="http://schemas.openxmlformats.org/officeDocument/2006/relationships/hyperlink" Target="https://github.com/BredaUniversityADSAI/2023-24a-fai1-adsai-Ibrahimabdo231018/blob/main/Tasks/Domain%20and%20subdomains%20in%20AI.jpg" TargetMode="External"/><Relationship Id="rId14" Type="http://schemas.openxmlformats.org/officeDocument/2006/relationships/hyperlink" Target="https://github.com/BredaUniversityADSAI/2023-24a-fai1-adsai-Ibrahimabdo231018/blob/main/Tasks/the%20different%20ways%20you%20can%20get%20started%20writing%20your%20problem%20statement..txt" TargetMode="External"/><Relationship Id="rId22" Type="http://schemas.openxmlformats.org/officeDocument/2006/relationships/hyperlink" Target="https://github.com/BredaUniversityADSAI/2023-24a-fai1-adsai-Ibrahimabdo231018/blob/main/certificates/Report%20design%20in%20power%20bi.png" TargetMode="External"/><Relationship Id="rId27" Type="http://schemas.openxmlformats.org/officeDocument/2006/relationships/hyperlink" Target="https://github.com/BredaUniversityADSAI/2023-24a-fai1-adsai-Ibrahimabdo231018/blob/main/certificates/data%20visualization%20in%20power%20bi.pdf" TargetMode="External"/><Relationship Id="rId30" Type="http://schemas.openxmlformats.org/officeDocument/2006/relationships/hyperlink" Target="https://github.com/BredaUniversityADSAI/2023-24a-fai1-adsai-Ibrahimabdo231018/blob/main/Tasks/231018_IbrahimAbdo_CorrelationDatalabPreparation_Week6_Day3.pb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67"/>
  <sheetViews>
    <sheetView tabSelected="1" workbookViewId="0">
      <pane ySplit="1" topLeftCell="A66" activePane="bottomLeft" state="frozen"/>
      <selection pane="bottomLeft" activeCell="J76" sqref="J76"/>
    </sheetView>
  </sheetViews>
  <sheetFormatPr defaultColWidth="14.453125" defaultRowHeight="15" customHeight="1" x14ac:dyDescent="0.25"/>
  <cols>
    <col min="1" max="1" width="9.81640625" customWidth="1"/>
    <col min="2" max="2" width="11.26953125" customWidth="1"/>
    <col min="3" max="3" width="16.26953125" customWidth="1"/>
    <col min="4" max="4" width="43.453125" customWidth="1"/>
    <col min="5" max="6" width="15.453125" customWidth="1"/>
    <col min="7" max="7" width="8.7265625" customWidth="1"/>
    <col min="8" max="8" width="8.453125" customWidth="1"/>
    <col min="9" max="9" width="6.453125" customWidth="1"/>
    <col min="10" max="10" width="18.453125" customWidth="1"/>
    <col min="11" max="11" width="81.26953125" customWidth="1"/>
  </cols>
  <sheetData>
    <row r="1" spans="1:11" ht="24" x14ac:dyDescent="0.3">
      <c r="A1" s="3" t="s">
        <v>0</v>
      </c>
      <c r="B1" s="3" t="s">
        <v>1</v>
      </c>
      <c r="C1" s="3" t="s">
        <v>2</v>
      </c>
      <c r="D1" s="3" t="s">
        <v>3</v>
      </c>
      <c r="E1" s="5" t="s">
        <v>4</v>
      </c>
      <c r="F1" s="5" t="s">
        <v>5</v>
      </c>
      <c r="G1" s="5" t="s">
        <v>6</v>
      </c>
      <c r="H1" s="5" t="s">
        <v>7</v>
      </c>
      <c r="I1" s="5" t="s">
        <v>8</v>
      </c>
      <c r="J1" s="5" t="s">
        <v>9</v>
      </c>
      <c r="K1" s="3" t="s">
        <v>10</v>
      </c>
    </row>
    <row r="2" spans="1:11" ht="18.75" customHeight="1" x14ac:dyDescent="0.25">
      <c r="A2" s="73" t="s">
        <v>11</v>
      </c>
      <c r="B2" s="74"/>
      <c r="C2" s="74"/>
      <c r="D2" s="74"/>
      <c r="E2" s="74"/>
      <c r="F2" s="74"/>
      <c r="G2" s="74"/>
      <c r="H2" s="74"/>
      <c r="I2" s="74"/>
      <c r="J2" s="74"/>
      <c r="K2" s="74"/>
    </row>
    <row r="3" spans="1:11" ht="12.5" x14ac:dyDescent="0.25">
      <c r="A3" s="7" t="s">
        <v>12</v>
      </c>
      <c r="B3" s="75" t="s">
        <v>13</v>
      </c>
      <c r="C3" s="76"/>
      <c r="D3" s="76"/>
      <c r="E3" s="76"/>
      <c r="F3" s="76"/>
      <c r="G3" s="76"/>
      <c r="H3" s="76"/>
      <c r="I3" s="76"/>
      <c r="J3" s="76"/>
      <c r="K3" s="77"/>
    </row>
    <row r="4" spans="1:11" ht="27.75" customHeight="1" x14ac:dyDescent="0.25">
      <c r="A4" s="10" t="s">
        <v>14</v>
      </c>
      <c r="B4" s="75" t="s">
        <v>15</v>
      </c>
      <c r="C4" s="76"/>
      <c r="D4" s="76"/>
      <c r="E4" s="76"/>
      <c r="F4" s="76"/>
      <c r="G4" s="76"/>
      <c r="H4" s="76"/>
      <c r="I4" s="76"/>
      <c r="J4" s="76"/>
      <c r="K4" s="77"/>
    </row>
    <row r="5" spans="1:11" ht="12.5" x14ac:dyDescent="0.25">
      <c r="A5" s="33">
        <v>45173</v>
      </c>
      <c r="B5" s="28" t="s">
        <v>16</v>
      </c>
      <c r="C5" s="12" t="s">
        <v>100</v>
      </c>
      <c r="D5" s="47" t="s">
        <v>67</v>
      </c>
      <c r="E5" s="13" t="s">
        <v>46</v>
      </c>
      <c r="F5" s="13" t="s">
        <v>44</v>
      </c>
      <c r="G5" s="69">
        <v>1.5</v>
      </c>
      <c r="H5" s="69">
        <v>1.5</v>
      </c>
      <c r="I5" s="30">
        <f t="shared" ref="I5:I18" si="0">H5-G5</f>
        <v>0</v>
      </c>
      <c r="J5" s="70"/>
      <c r="K5" s="28"/>
    </row>
    <row r="6" spans="1:11" ht="12.5" x14ac:dyDescent="0.25">
      <c r="A6" s="33">
        <v>45174</v>
      </c>
      <c r="B6" s="28" t="s">
        <v>16</v>
      </c>
      <c r="C6" s="12" t="s">
        <v>68</v>
      </c>
      <c r="D6" s="47" t="s">
        <v>68</v>
      </c>
      <c r="E6" s="13" t="s">
        <v>60</v>
      </c>
      <c r="F6" s="13" t="s">
        <v>44</v>
      </c>
      <c r="G6" s="69">
        <v>2.5</v>
      </c>
      <c r="H6" s="69">
        <v>1.5</v>
      </c>
      <c r="I6" s="30">
        <f t="shared" si="0"/>
        <v>-1</v>
      </c>
      <c r="J6" s="14"/>
      <c r="K6" s="16"/>
    </row>
    <row r="7" spans="1:11" ht="15.5" x14ac:dyDescent="0.25">
      <c r="A7" s="33">
        <v>45174</v>
      </c>
      <c r="B7" s="28" t="s">
        <v>16</v>
      </c>
      <c r="C7" s="12" t="s">
        <v>68</v>
      </c>
      <c r="D7" s="48" t="s">
        <v>69</v>
      </c>
      <c r="E7" s="13" t="s">
        <v>46</v>
      </c>
      <c r="F7" s="13" t="s">
        <v>50</v>
      </c>
      <c r="G7" s="69">
        <v>3</v>
      </c>
      <c r="H7" s="69">
        <v>2</v>
      </c>
      <c r="I7" s="30">
        <f t="shared" si="0"/>
        <v>-1</v>
      </c>
      <c r="J7" s="14"/>
      <c r="K7" s="16"/>
    </row>
    <row r="8" spans="1:11" ht="12.5" x14ac:dyDescent="0.25">
      <c r="A8" s="33">
        <v>45174</v>
      </c>
      <c r="B8" s="28" t="s">
        <v>16</v>
      </c>
      <c r="C8" s="12" t="s">
        <v>68</v>
      </c>
      <c r="D8" s="28" t="s">
        <v>70</v>
      </c>
      <c r="E8" s="13" t="s">
        <v>52</v>
      </c>
      <c r="F8" s="13" t="s">
        <v>44</v>
      </c>
      <c r="G8" s="69">
        <v>2.5</v>
      </c>
      <c r="H8" s="69">
        <v>2</v>
      </c>
      <c r="I8" s="30">
        <f t="shared" si="0"/>
        <v>-0.5</v>
      </c>
      <c r="J8" s="14"/>
      <c r="K8" s="16"/>
    </row>
    <row r="9" spans="1:11" ht="12.5" x14ac:dyDescent="0.25">
      <c r="A9" s="33">
        <v>45175</v>
      </c>
      <c r="B9" s="28" t="s">
        <v>16</v>
      </c>
      <c r="C9" s="12" t="s">
        <v>101</v>
      </c>
      <c r="D9" s="28" t="s">
        <v>77</v>
      </c>
      <c r="E9" s="13" t="s">
        <v>64</v>
      </c>
      <c r="F9" s="13" t="s">
        <v>50</v>
      </c>
      <c r="G9" s="69">
        <v>2</v>
      </c>
      <c r="H9" s="69">
        <v>1.5</v>
      </c>
      <c r="I9" s="30">
        <f t="shared" si="0"/>
        <v>-0.5</v>
      </c>
      <c r="J9" s="14"/>
      <c r="K9" s="16"/>
    </row>
    <row r="10" spans="1:11" ht="12.5" x14ac:dyDescent="0.25">
      <c r="A10" s="33">
        <v>45175</v>
      </c>
      <c r="B10" s="28" t="s">
        <v>16</v>
      </c>
      <c r="C10" s="12" t="s">
        <v>101</v>
      </c>
      <c r="D10" s="28" t="s">
        <v>78</v>
      </c>
      <c r="E10" s="13" t="s">
        <v>64</v>
      </c>
      <c r="F10" s="13" t="s">
        <v>50</v>
      </c>
      <c r="G10" s="69">
        <v>4</v>
      </c>
      <c r="H10" s="69">
        <v>5</v>
      </c>
      <c r="I10" s="30">
        <f t="shared" si="0"/>
        <v>1</v>
      </c>
      <c r="J10" s="14"/>
      <c r="K10" s="16"/>
    </row>
    <row r="11" spans="1:11" ht="12.5" x14ac:dyDescent="0.25">
      <c r="A11" s="33">
        <v>45176</v>
      </c>
      <c r="B11" s="28" t="s">
        <v>16</v>
      </c>
      <c r="C11" s="12" t="s">
        <v>102</v>
      </c>
      <c r="D11" s="28" t="s">
        <v>71</v>
      </c>
      <c r="E11" s="13" t="s">
        <v>49</v>
      </c>
      <c r="F11" s="13" t="s">
        <v>58</v>
      </c>
      <c r="G11" s="69">
        <v>4</v>
      </c>
      <c r="H11" s="69">
        <v>4</v>
      </c>
      <c r="I11" s="30">
        <f t="shared" si="0"/>
        <v>0</v>
      </c>
      <c r="J11" s="14"/>
      <c r="K11" s="16"/>
    </row>
    <row r="12" spans="1:11" ht="12.5" x14ac:dyDescent="0.25">
      <c r="A12" s="33">
        <v>45176</v>
      </c>
      <c r="B12" s="28" t="s">
        <v>16</v>
      </c>
      <c r="C12" s="12" t="s">
        <v>102</v>
      </c>
      <c r="D12" s="28" t="s">
        <v>71</v>
      </c>
      <c r="E12" s="13" t="s">
        <v>49</v>
      </c>
      <c r="F12" s="13" t="s">
        <v>58</v>
      </c>
      <c r="G12" s="69">
        <v>4</v>
      </c>
      <c r="H12" s="69">
        <v>4</v>
      </c>
      <c r="I12" s="30">
        <f t="shared" si="0"/>
        <v>0</v>
      </c>
      <c r="J12" s="29"/>
      <c r="K12" s="16"/>
    </row>
    <row r="13" spans="1:11" ht="12.5" x14ac:dyDescent="0.25">
      <c r="A13" s="33">
        <v>45177</v>
      </c>
      <c r="B13" s="28" t="s">
        <v>16</v>
      </c>
      <c r="C13" s="12" t="s">
        <v>103</v>
      </c>
      <c r="D13" s="28" t="s">
        <v>72</v>
      </c>
      <c r="E13" s="13" t="s">
        <v>46</v>
      </c>
      <c r="F13" s="13" t="s">
        <v>44</v>
      </c>
      <c r="G13" s="69">
        <v>0.15</v>
      </c>
      <c r="H13" s="69">
        <v>0.15</v>
      </c>
      <c r="I13" s="30">
        <f t="shared" si="0"/>
        <v>0</v>
      </c>
      <c r="J13" s="29"/>
      <c r="K13" s="16"/>
    </row>
    <row r="14" spans="1:11" ht="12.5" x14ac:dyDescent="0.25">
      <c r="A14" s="33">
        <v>45177</v>
      </c>
      <c r="B14" s="28" t="s">
        <v>16</v>
      </c>
      <c r="C14" s="12" t="s">
        <v>103</v>
      </c>
      <c r="D14" s="28" t="s">
        <v>73</v>
      </c>
      <c r="E14" s="13" t="s">
        <v>64</v>
      </c>
      <c r="F14" s="13" t="s">
        <v>47</v>
      </c>
      <c r="G14" s="69">
        <v>1</v>
      </c>
      <c r="H14" s="69">
        <v>0.5</v>
      </c>
      <c r="I14" s="30">
        <f t="shared" si="0"/>
        <v>-0.5</v>
      </c>
      <c r="J14" s="29"/>
      <c r="K14" s="16"/>
    </row>
    <row r="15" spans="1:11" ht="12.5" x14ac:dyDescent="0.25">
      <c r="A15" s="71">
        <v>45177</v>
      </c>
      <c r="B15" s="28" t="s">
        <v>16</v>
      </c>
      <c r="C15" s="12" t="s">
        <v>103</v>
      </c>
      <c r="D15" s="28" t="s">
        <v>74</v>
      </c>
      <c r="E15" s="13" t="s">
        <v>64</v>
      </c>
      <c r="F15" s="13" t="s">
        <v>47</v>
      </c>
      <c r="G15" s="69">
        <v>1.5</v>
      </c>
      <c r="H15" s="30">
        <v>3</v>
      </c>
      <c r="I15" s="30">
        <f t="shared" si="0"/>
        <v>1.5</v>
      </c>
      <c r="J15" s="68" t="s">
        <v>225</v>
      </c>
      <c r="K15" s="16"/>
    </row>
    <row r="16" spans="1:11" ht="12.5" x14ac:dyDescent="0.25">
      <c r="A16" s="33">
        <v>45177</v>
      </c>
      <c r="B16" s="28" t="s">
        <v>16</v>
      </c>
      <c r="C16" s="12" t="s">
        <v>103</v>
      </c>
      <c r="D16" s="28" t="s">
        <v>75</v>
      </c>
      <c r="E16" s="13" t="s">
        <v>52</v>
      </c>
      <c r="F16" s="13" t="s">
        <v>47</v>
      </c>
      <c r="G16" s="69">
        <v>3</v>
      </c>
      <c r="H16" s="69">
        <v>2.5</v>
      </c>
      <c r="I16" s="30">
        <f t="shared" si="0"/>
        <v>-0.5</v>
      </c>
      <c r="J16" s="29"/>
      <c r="K16" s="16"/>
    </row>
    <row r="17" spans="1:11" ht="12.5" x14ac:dyDescent="0.25">
      <c r="A17" s="33">
        <v>45177</v>
      </c>
      <c r="B17" s="28" t="s">
        <v>16</v>
      </c>
      <c r="C17" s="12" t="s">
        <v>103</v>
      </c>
      <c r="D17" s="28" t="s">
        <v>76</v>
      </c>
      <c r="E17" s="13" t="s">
        <v>64</v>
      </c>
      <c r="F17" s="13" t="s">
        <v>44</v>
      </c>
      <c r="G17" s="69">
        <v>2.5</v>
      </c>
      <c r="H17" s="69">
        <v>2</v>
      </c>
      <c r="I17" s="30">
        <f t="shared" si="0"/>
        <v>-0.5</v>
      </c>
      <c r="J17" s="29"/>
      <c r="K17" s="16"/>
    </row>
    <row r="18" spans="1:11" ht="12.5" x14ac:dyDescent="0.25">
      <c r="A18" s="19"/>
      <c r="B18" s="21"/>
      <c r="C18" s="21"/>
      <c r="D18" s="21"/>
      <c r="E18" s="21" t="s">
        <v>17</v>
      </c>
      <c r="F18" s="21"/>
      <c r="G18" s="24">
        <f>SUM(G5:G17)</f>
        <v>31.65</v>
      </c>
      <c r="H18" s="24">
        <f>SUM(H5:H17)</f>
        <v>29.65</v>
      </c>
      <c r="I18" s="24">
        <f t="shared" si="0"/>
        <v>-2</v>
      </c>
      <c r="J18" s="25"/>
      <c r="K18" s="49"/>
    </row>
    <row r="19" spans="1:11" ht="18.75" customHeight="1" x14ac:dyDescent="0.25">
      <c r="A19" s="46" t="s">
        <v>18</v>
      </c>
      <c r="B19" s="49"/>
      <c r="C19" s="49"/>
      <c r="D19" s="49"/>
      <c r="E19" s="49"/>
      <c r="F19" s="49"/>
      <c r="G19" s="49"/>
      <c r="H19" s="49"/>
      <c r="I19" s="49"/>
      <c r="J19" s="49"/>
      <c r="K19" s="51"/>
    </row>
    <row r="20" spans="1:11" ht="12.5" x14ac:dyDescent="0.25">
      <c r="A20" s="46" t="s">
        <v>12</v>
      </c>
      <c r="B20" s="52" t="s">
        <v>13</v>
      </c>
      <c r="C20" s="50"/>
      <c r="D20" s="50"/>
      <c r="E20" s="50"/>
      <c r="F20" s="50"/>
      <c r="G20" s="50"/>
      <c r="H20" s="50"/>
      <c r="I20" s="50"/>
      <c r="J20" s="50"/>
      <c r="K20" s="51"/>
    </row>
    <row r="21" spans="1:11" ht="27.75" customHeight="1" x14ac:dyDescent="0.25">
      <c r="A21" s="26" t="s">
        <v>14</v>
      </c>
      <c r="B21" s="52" t="s">
        <v>19</v>
      </c>
      <c r="C21" s="50"/>
      <c r="D21" s="50"/>
      <c r="E21" s="50"/>
      <c r="F21" s="50"/>
      <c r="G21" s="50"/>
      <c r="H21" s="50"/>
      <c r="I21" s="50"/>
      <c r="J21" s="50"/>
      <c r="K21" s="28"/>
    </row>
    <row r="22" spans="1:11" ht="12.5" x14ac:dyDescent="0.25">
      <c r="A22" s="27">
        <v>45181</v>
      </c>
      <c r="B22" s="28" t="s">
        <v>16</v>
      </c>
      <c r="C22" s="12" t="s">
        <v>96</v>
      </c>
      <c r="D22" s="28" t="s">
        <v>79</v>
      </c>
      <c r="E22" s="13" t="s">
        <v>64</v>
      </c>
      <c r="F22" s="13" t="s">
        <v>44</v>
      </c>
      <c r="G22" s="69">
        <v>1.5</v>
      </c>
      <c r="H22" s="69">
        <v>1</v>
      </c>
      <c r="I22" s="30">
        <f t="shared" ref="I22:I40" si="1">H22-G22</f>
        <v>-0.5</v>
      </c>
      <c r="J22" s="29"/>
      <c r="K22" s="28"/>
    </row>
    <row r="23" spans="1:11" ht="12.5" x14ac:dyDescent="0.25">
      <c r="A23" s="27">
        <v>45181</v>
      </c>
      <c r="B23" s="28" t="s">
        <v>16</v>
      </c>
      <c r="C23" s="12" t="s">
        <v>96</v>
      </c>
      <c r="D23" s="28" t="s">
        <v>80</v>
      </c>
      <c r="E23" s="13" t="s">
        <v>64</v>
      </c>
      <c r="F23" s="13" t="s">
        <v>44</v>
      </c>
      <c r="G23" s="69">
        <v>2</v>
      </c>
      <c r="H23" s="69">
        <v>2.5</v>
      </c>
      <c r="I23" s="30">
        <f t="shared" si="1"/>
        <v>0.5</v>
      </c>
      <c r="J23" s="29"/>
      <c r="K23" s="28"/>
    </row>
    <row r="24" spans="1:11" ht="12.5" x14ac:dyDescent="0.25">
      <c r="A24" s="27">
        <v>45181</v>
      </c>
      <c r="B24" s="28" t="s">
        <v>16</v>
      </c>
      <c r="C24" s="12" t="s">
        <v>96</v>
      </c>
      <c r="D24" s="28" t="s">
        <v>81</v>
      </c>
      <c r="E24" s="13" t="s">
        <v>64</v>
      </c>
      <c r="F24" s="13" t="s">
        <v>44</v>
      </c>
      <c r="G24" s="69">
        <v>3.5</v>
      </c>
      <c r="H24" s="69">
        <v>4</v>
      </c>
      <c r="I24" s="30">
        <f t="shared" si="1"/>
        <v>0.5</v>
      </c>
      <c r="J24" s="29"/>
      <c r="K24" s="28"/>
    </row>
    <row r="25" spans="1:11" ht="15.5" x14ac:dyDescent="0.25">
      <c r="A25" s="27">
        <v>45182</v>
      </c>
      <c r="B25" s="28" t="s">
        <v>16</v>
      </c>
      <c r="C25" s="12" t="s">
        <v>97</v>
      </c>
      <c r="D25" s="66" t="s">
        <v>82</v>
      </c>
      <c r="E25" s="13" t="s">
        <v>64</v>
      </c>
      <c r="F25" s="13" t="s">
        <v>44</v>
      </c>
      <c r="G25" s="69">
        <v>0.35</v>
      </c>
      <c r="H25" s="69">
        <v>0.45</v>
      </c>
      <c r="I25" s="30">
        <f t="shared" si="1"/>
        <v>0.10000000000000003</v>
      </c>
      <c r="J25" s="29"/>
      <c r="K25" s="28"/>
    </row>
    <row r="26" spans="1:11" ht="12.5" x14ac:dyDescent="0.25">
      <c r="A26" s="27">
        <v>45182</v>
      </c>
      <c r="B26" s="28" t="s">
        <v>16</v>
      </c>
      <c r="C26" s="12" t="s">
        <v>97</v>
      </c>
      <c r="D26" s="28" t="s">
        <v>83</v>
      </c>
      <c r="E26" s="13" t="s">
        <v>46</v>
      </c>
      <c r="F26" s="13" t="s">
        <v>44</v>
      </c>
      <c r="G26" s="69">
        <v>0.15</v>
      </c>
      <c r="H26" s="69">
        <v>0.15</v>
      </c>
      <c r="I26" s="30">
        <f t="shared" si="1"/>
        <v>0</v>
      </c>
      <c r="J26" s="29"/>
      <c r="K26" s="28"/>
    </row>
    <row r="27" spans="1:11" ht="12.5" x14ac:dyDescent="0.25">
      <c r="A27" s="27">
        <v>45182</v>
      </c>
      <c r="B27" s="28" t="s">
        <v>16</v>
      </c>
      <c r="C27" s="12" t="s">
        <v>97</v>
      </c>
      <c r="D27" s="28" t="s">
        <v>84</v>
      </c>
      <c r="E27" s="13" t="s">
        <v>54</v>
      </c>
      <c r="F27" s="13" t="s">
        <v>50</v>
      </c>
      <c r="G27" s="69">
        <v>2.5</v>
      </c>
      <c r="H27" s="69">
        <v>2.5</v>
      </c>
      <c r="I27" s="30">
        <f t="shared" si="1"/>
        <v>0</v>
      </c>
      <c r="J27" s="68" t="s">
        <v>226</v>
      </c>
      <c r="K27" s="28"/>
    </row>
    <row r="28" spans="1:11" ht="12.5" x14ac:dyDescent="0.25">
      <c r="A28" s="27">
        <v>45182</v>
      </c>
      <c r="B28" s="28" t="s">
        <v>16</v>
      </c>
      <c r="C28" s="12" t="s">
        <v>97</v>
      </c>
      <c r="D28" s="28" t="s">
        <v>85</v>
      </c>
      <c r="E28" s="13" t="s">
        <v>52</v>
      </c>
      <c r="F28" s="13" t="s">
        <v>47</v>
      </c>
      <c r="G28" s="69">
        <v>1</v>
      </c>
      <c r="H28" s="69">
        <v>0.45</v>
      </c>
      <c r="I28" s="30">
        <f t="shared" si="1"/>
        <v>-0.55000000000000004</v>
      </c>
      <c r="J28" s="29"/>
      <c r="K28" s="28"/>
    </row>
    <row r="29" spans="1:11" ht="12.5" x14ac:dyDescent="0.25">
      <c r="A29" s="27">
        <v>45182</v>
      </c>
      <c r="B29" s="28" t="s">
        <v>16</v>
      </c>
      <c r="C29" s="12" t="s">
        <v>97</v>
      </c>
      <c r="D29" s="28" t="s">
        <v>86</v>
      </c>
      <c r="E29" s="13" t="s">
        <v>46</v>
      </c>
      <c r="F29" s="13" t="s">
        <v>44</v>
      </c>
      <c r="G29" s="69">
        <v>1.5</v>
      </c>
      <c r="H29" s="69">
        <v>1</v>
      </c>
      <c r="I29" s="30"/>
      <c r="J29" s="29"/>
      <c r="K29" s="28"/>
    </row>
    <row r="30" spans="1:11" ht="12.5" x14ac:dyDescent="0.25">
      <c r="A30" s="27">
        <v>45183</v>
      </c>
      <c r="B30" s="28" t="s">
        <v>16</v>
      </c>
      <c r="C30" s="12" t="s">
        <v>98</v>
      </c>
      <c r="D30" s="28" t="s">
        <v>87</v>
      </c>
      <c r="E30" s="13" t="s">
        <v>64</v>
      </c>
      <c r="F30" s="13" t="s">
        <v>44</v>
      </c>
      <c r="G30" s="69">
        <v>1</v>
      </c>
      <c r="H30" s="69">
        <v>1.35</v>
      </c>
      <c r="I30" s="30"/>
      <c r="J30" s="29"/>
      <c r="K30" s="28"/>
    </row>
    <row r="31" spans="1:11" ht="12.5" x14ac:dyDescent="0.25">
      <c r="A31" s="27">
        <v>45183</v>
      </c>
      <c r="B31" s="28" t="s">
        <v>16</v>
      </c>
      <c r="C31" s="12" t="s">
        <v>98</v>
      </c>
      <c r="D31" s="28" t="s">
        <v>88</v>
      </c>
      <c r="E31" s="13" t="s">
        <v>52</v>
      </c>
      <c r="F31" s="13" t="s">
        <v>50</v>
      </c>
      <c r="G31" s="69">
        <v>4</v>
      </c>
      <c r="H31" s="69">
        <v>4.5</v>
      </c>
      <c r="I31" s="30">
        <f t="shared" si="1"/>
        <v>0.5</v>
      </c>
      <c r="J31" s="68" t="s">
        <v>227</v>
      </c>
      <c r="K31" s="28"/>
    </row>
    <row r="32" spans="1:11" ht="12.5" x14ac:dyDescent="0.25">
      <c r="A32" s="27">
        <v>45183</v>
      </c>
      <c r="B32" s="28" t="s">
        <v>16</v>
      </c>
      <c r="C32" s="12" t="s">
        <v>98</v>
      </c>
      <c r="D32" s="28" t="s">
        <v>89</v>
      </c>
      <c r="E32" s="13" t="s">
        <v>64</v>
      </c>
      <c r="F32" s="13" t="s">
        <v>50</v>
      </c>
      <c r="G32" s="69">
        <v>2</v>
      </c>
      <c r="H32" s="69">
        <v>2.5</v>
      </c>
      <c r="I32" s="30"/>
      <c r="J32" s="68" t="s">
        <v>228</v>
      </c>
      <c r="K32" s="28"/>
    </row>
    <row r="33" spans="1:11" ht="13" x14ac:dyDescent="0.3">
      <c r="A33" s="27">
        <v>45184</v>
      </c>
      <c r="B33" s="28" t="s">
        <v>16</v>
      </c>
      <c r="C33" s="12" t="s">
        <v>90</v>
      </c>
      <c r="D33" s="67" t="s">
        <v>90</v>
      </c>
      <c r="E33" s="13" t="s">
        <v>49</v>
      </c>
      <c r="F33" s="13" t="s">
        <v>58</v>
      </c>
      <c r="G33" s="69">
        <v>7</v>
      </c>
      <c r="H33" s="69">
        <v>7</v>
      </c>
      <c r="I33" s="30"/>
      <c r="J33" s="29"/>
      <c r="K33" s="28"/>
    </row>
    <row r="34" spans="1:11" ht="12.5" x14ac:dyDescent="0.25">
      <c r="A34" s="27">
        <v>45185</v>
      </c>
      <c r="B34" s="28" t="s">
        <v>16</v>
      </c>
      <c r="C34" s="12" t="s">
        <v>99</v>
      </c>
      <c r="D34" s="28" t="s">
        <v>91</v>
      </c>
      <c r="E34" s="13" t="s">
        <v>64</v>
      </c>
      <c r="F34" s="13" t="s">
        <v>44</v>
      </c>
      <c r="G34" s="69">
        <v>0.15</v>
      </c>
      <c r="H34" s="69">
        <v>0.15</v>
      </c>
      <c r="I34" s="30"/>
      <c r="J34" s="29"/>
      <c r="K34" s="28"/>
    </row>
    <row r="35" spans="1:11" ht="12.5" x14ac:dyDescent="0.25">
      <c r="A35" s="27">
        <v>45185</v>
      </c>
      <c r="B35" s="28" t="s">
        <v>16</v>
      </c>
      <c r="C35" s="12" t="s">
        <v>99</v>
      </c>
      <c r="D35" s="28" t="s">
        <v>83</v>
      </c>
      <c r="E35" s="13" t="s">
        <v>46</v>
      </c>
      <c r="F35" s="13" t="s">
        <v>44</v>
      </c>
      <c r="G35" s="69">
        <v>0.15</v>
      </c>
      <c r="H35" s="69">
        <v>0.15</v>
      </c>
      <c r="I35" s="30"/>
      <c r="J35" s="29"/>
      <c r="K35" s="28"/>
    </row>
    <row r="36" spans="1:11" ht="12.5" x14ac:dyDescent="0.25">
      <c r="A36" s="27">
        <v>45185</v>
      </c>
      <c r="B36" s="28" t="s">
        <v>16</v>
      </c>
      <c r="C36" s="12" t="s">
        <v>99</v>
      </c>
      <c r="D36" s="28" t="s">
        <v>92</v>
      </c>
      <c r="E36" s="13" t="s">
        <v>61</v>
      </c>
      <c r="F36" s="13" t="s">
        <v>50</v>
      </c>
      <c r="G36" s="69">
        <v>0.45</v>
      </c>
      <c r="H36" s="30">
        <v>0.45</v>
      </c>
      <c r="I36" s="30">
        <f t="shared" si="1"/>
        <v>0</v>
      </c>
      <c r="J36" s="29"/>
      <c r="K36" s="28"/>
    </row>
    <row r="37" spans="1:11" ht="12.5" x14ac:dyDescent="0.25">
      <c r="A37" s="27">
        <v>45185</v>
      </c>
      <c r="B37" s="28" t="s">
        <v>16</v>
      </c>
      <c r="C37" s="12" t="s">
        <v>99</v>
      </c>
      <c r="D37" s="28" t="s">
        <v>93</v>
      </c>
      <c r="E37" s="13" t="s">
        <v>52</v>
      </c>
      <c r="F37" s="13" t="s">
        <v>47</v>
      </c>
      <c r="G37" s="69">
        <v>3</v>
      </c>
      <c r="H37" s="69">
        <v>4</v>
      </c>
      <c r="I37" s="30"/>
      <c r="J37" s="68" t="s">
        <v>229</v>
      </c>
      <c r="K37" s="28"/>
    </row>
    <row r="38" spans="1:11" ht="12.5" x14ac:dyDescent="0.25">
      <c r="A38" s="27">
        <v>45185</v>
      </c>
      <c r="B38" s="28" t="s">
        <v>16</v>
      </c>
      <c r="C38" s="12" t="s">
        <v>99</v>
      </c>
      <c r="D38" s="28" t="s">
        <v>94</v>
      </c>
      <c r="E38" s="13" t="s">
        <v>57</v>
      </c>
      <c r="F38" s="13" t="s">
        <v>47</v>
      </c>
      <c r="G38" s="69">
        <v>1</v>
      </c>
      <c r="H38" s="69">
        <v>0.5</v>
      </c>
      <c r="I38" s="30"/>
      <c r="J38" s="68"/>
      <c r="K38" s="28"/>
    </row>
    <row r="39" spans="1:11" ht="12.5" x14ac:dyDescent="0.25">
      <c r="A39" s="27">
        <v>45185</v>
      </c>
      <c r="B39" s="28" t="s">
        <v>16</v>
      </c>
      <c r="C39" s="12" t="s">
        <v>99</v>
      </c>
      <c r="D39" s="28" t="s">
        <v>95</v>
      </c>
      <c r="E39" s="13" t="s">
        <v>64</v>
      </c>
      <c r="F39" s="13" t="s">
        <v>44</v>
      </c>
      <c r="G39" s="69">
        <v>1.5</v>
      </c>
      <c r="H39" s="69">
        <v>2</v>
      </c>
      <c r="I39" s="30"/>
      <c r="J39" s="68"/>
      <c r="K39" s="28"/>
    </row>
    <row r="40" spans="1:11" ht="12.5" x14ac:dyDescent="0.25">
      <c r="A40" s="19"/>
      <c r="B40" s="21"/>
      <c r="C40" s="21"/>
      <c r="D40" s="21"/>
      <c r="E40" s="21" t="s">
        <v>17</v>
      </c>
      <c r="F40" s="21"/>
      <c r="G40" s="24">
        <f>SUM(G20:G39)</f>
        <v>32.75</v>
      </c>
      <c r="H40" s="24">
        <f>SUM(H20:H39)</f>
        <v>34.649999999999991</v>
      </c>
      <c r="I40" s="24">
        <f t="shared" si="1"/>
        <v>1.8999999999999915</v>
      </c>
      <c r="J40" s="25"/>
      <c r="K40" s="51"/>
    </row>
    <row r="41" spans="1:11" ht="18.75" customHeight="1" x14ac:dyDescent="0.25">
      <c r="A41" s="53" t="s">
        <v>20</v>
      </c>
      <c r="B41" s="50"/>
      <c r="C41" s="50"/>
      <c r="D41" s="50"/>
      <c r="E41" s="50"/>
      <c r="F41" s="50"/>
      <c r="G41" s="50"/>
      <c r="H41" s="50"/>
      <c r="I41" s="50"/>
      <c r="J41" s="50"/>
      <c r="K41" s="51"/>
    </row>
    <row r="42" spans="1:11" ht="12.5" x14ac:dyDescent="0.25">
      <c r="A42" s="31" t="s">
        <v>12</v>
      </c>
      <c r="B42" s="54" t="s">
        <v>13</v>
      </c>
      <c r="C42" s="50"/>
      <c r="D42" s="50"/>
      <c r="E42" s="50"/>
      <c r="F42" s="50"/>
      <c r="G42" s="50"/>
      <c r="H42" s="50"/>
      <c r="I42" s="50"/>
      <c r="J42" s="50"/>
      <c r="K42" s="51"/>
    </row>
    <row r="43" spans="1:11" ht="27.75" customHeight="1" x14ac:dyDescent="0.25">
      <c r="A43" s="32" t="s">
        <v>14</v>
      </c>
      <c r="B43" s="54" t="s">
        <v>15</v>
      </c>
      <c r="C43" s="50"/>
      <c r="D43" s="50"/>
      <c r="E43" s="50"/>
      <c r="F43" s="50"/>
      <c r="G43" s="50"/>
      <c r="H43" s="50"/>
      <c r="I43" s="50"/>
      <c r="J43" s="50"/>
      <c r="K43" s="28"/>
    </row>
    <row r="44" spans="1:11" ht="12.5" x14ac:dyDescent="0.25">
      <c r="A44" s="33">
        <v>45187</v>
      </c>
      <c r="B44" s="28" t="s">
        <v>16</v>
      </c>
      <c r="C44" s="12" t="s">
        <v>104</v>
      </c>
      <c r="D44" s="28" t="s">
        <v>105</v>
      </c>
      <c r="E44" s="13" t="s">
        <v>60</v>
      </c>
      <c r="F44" s="13" t="s">
        <v>44</v>
      </c>
      <c r="G44" s="30">
        <v>0.2</v>
      </c>
      <c r="H44" s="30">
        <v>0.15</v>
      </c>
      <c r="I44" s="30">
        <f t="shared" ref="I44:I60" si="2">H44-G44</f>
        <v>-5.0000000000000017E-2</v>
      </c>
      <c r="J44" s="29"/>
      <c r="K44" s="28"/>
    </row>
    <row r="45" spans="1:11" ht="12.5" x14ac:dyDescent="0.25">
      <c r="A45" s="33">
        <v>45187</v>
      </c>
      <c r="B45" s="28" t="s">
        <v>16</v>
      </c>
      <c r="C45" s="12" t="s">
        <v>104</v>
      </c>
      <c r="D45" s="28" t="s">
        <v>106</v>
      </c>
      <c r="E45" s="13" t="s">
        <v>64</v>
      </c>
      <c r="F45" s="13" t="s">
        <v>44</v>
      </c>
      <c r="G45" s="30">
        <v>4</v>
      </c>
      <c r="H45" s="30">
        <v>3.5</v>
      </c>
      <c r="I45" s="30">
        <f t="shared" si="2"/>
        <v>-0.5</v>
      </c>
      <c r="J45" s="68" t="s">
        <v>230</v>
      </c>
      <c r="K45" s="28" t="s">
        <v>108</v>
      </c>
    </row>
    <row r="46" spans="1:11" ht="12.5" x14ac:dyDescent="0.25">
      <c r="A46" s="33">
        <v>45187</v>
      </c>
      <c r="B46" t="s">
        <v>16</v>
      </c>
      <c r="C46" s="12" t="s">
        <v>104</v>
      </c>
      <c r="D46" s="28" t="s">
        <v>107</v>
      </c>
      <c r="E46" s="13" t="s">
        <v>64</v>
      </c>
      <c r="F46" s="13" t="s">
        <v>44</v>
      </c>
      <c r="G46" s="30">
        <v>3.5</v>
      </c>
      <c r="H46" s="30">
        <v>4</v>
      </c>
      <c r="I46" s="30">
        <f t="shared" si="2"/>
        <v>0.5</v>
      </c>
      <c r="J46" s="29"/>
      <c r="K46" s="28"/>
    </row>
    <row r="47" spans="1:11" ht="12.5" x14ac:dyDescent="0.25">
      <c r="A47" s="33">
        <v>45188</v>
      </c>
      <c r="B47" s="28" t="s">
        <v>16</v>
      </c>
      <c r="C47" s="12" t="s">
        <v>109</v>
      </c>
      <c r="D47" s="28" t="s">
        <v>110</v>
      </c>
      <c r="E47" s="13" t="s">
        <v>46</v>
      </c>
      <c r="F47" s="13" t="s">
        <v>44</v>
      </c>
      <c r="G47" s="30">
        <v>0.15</v>
      </c>
      <c r="H47" s="30">
        <v>0.2</v>
      </c>
      <c r="I47" s="30">
        <f t="shared" si="2"/>
        <v>5.0000000000000017E-2</v>
      </c>
      <c r="J47" s="29"/>
      <c r="K47" s="28"/>
    </row>
    <row r="48" spans="1:11" ht="12.5" x14ac:dyDescent="0.25">
      <c r="A48" s="33">
        <v>45188</v>
      </c>
      <c r="B48" s="28" t="s">
        <v>16</v>
      </c>
      <c r="C48" s="12" t="s">
        <v>109</v>
      </c>
      <c r="D48" s="28" t="s">
        <v>111</v>
      </c>
      <c r="E48" s="13" t="s">
        <v>52</v>
      </c>
      <c r="F48" s="13" t="s">
        <v>44</v>
      </c>
      <c r="G48" s="30">
        <v>0.45</v>
      </c>
      <c r="H48" s="30">
        <v>0.5</v>
      </c>
      <c r="I48" s="30">
        <f t="shared" si="2"/>
        <v>4.9999999999999989E-2</v>
      </c>
      <c r="J48" s="29"/>
      <c r="K48" s="28"/>
    </row>
    <row r="49" spans="1:11" ht="12.5" x14ac:dyDescent="0.25">
      <c r="A49" s="33">
        <v>45188</v>
      </c>
      <c r="B49" s="28" t="s">
        <v>16</v>
      </c>
      <c r="C49" s="12" t="s">
        <v>109</v>
      </c>
      <c r="D49" s="28" t="s">
        <v>95</v>
      </c>
      <c r="E49" s="13" t="s">
        <v>64</v>
      </c>
      <c r="F49" s="13" t="s">
        <v>44</v>
      </c>
      <c r="G49" s="30">
        <v>0.15</v>
      </c>
      <c r="H49" s="30">
        <v>0.15</v>
      </c>
      <c r="I49" s="30">
        <f t="shared" si="2"/>
        <v>0</v>
      </c>
      <c r="J49" s="68" t="s">
        <v>231</v>
      </c>
      <c r="K49" s="28"/>
    </row>
    <row r="50" spans="1:11" ht="12.5" x14ac:dyDescent="0.25">
      <c r="A50" s="33">
        <v>45188</v>
      </c>
      <c r="B50" s="28" t="s">
        <v>16</v>
      </c>
      <c r="C50" s="12" t="s">
        <v>109</v>
      </c>
      <c r="D50" s="28" t="s">
        <v>112</v>
      </c>
      <c r="E50" s="13" t="s">
        <v>63</v>
      </c>
      <c r="F50" s="13" t="s">
        <v>44</v>
      </c>
      <c r="G50" s="30">
        <v>1.5</v>
      </c>
      <c r="H50" s="30">
        <v>1.5</v>
      </c>
      <c r="I50" s="30">
        <f t="shared" si="2"/>
        <v>0</v>
      </c>
      <c r="J50" s="29"/>
      <c r="K50" s="28"/>
    </row>
    <row r="51" spans="1:11" ht="12.5" x14ac:dyDescent="0.25">
      <c r="A51" s="33">
        <v>45188</v>
      </c>
      <c r="B51" s="28" t="s">
        <v>16</v>
      </c>
      <c r="C51" s="12" t="s">
        <v>109</v>
      </c>
      <c r="D51" s="28" t="s">
        <v>113</v>
      </c>
      <c r="E51" s="13" t="s">
        <v>64</v>
      </c>
      <c r="F51" s="13" t="s">
        <v>44</v>
      </c>
      <c r="G51" s="30">
        <v>4</v>
      </c>
      <c r="H51" s="30">
        <v>4.5</v>
      </c>
      <c r="I51" s="30">
        <f t="shared" si="2"/>
        <v>0.5</v>
      </c>
      <c r="J51" s="29"/>
      <c r="K51" s="28"/>
    </row>
    <row r="52" spans="1:11" ht="12.5" x14ac:dyDescent="0.25">
      <c r="A52" s="33">
        <v>45189</v>
      </c>
      <c r="B52" s="28" t="s">
        <v>16</v>
      </c>
      <c r="C52" s="12" t="s">
        <v>114</v>
      </c>
      <c r="D52" s="28" t="s">
        <v>115</v>
      </c>
      <c r="E52" s="13" t="s">
        <v>64</v>
      </c>
      <c r="F52" s="13" t="s">
        <v>44</v>
      </c>
      <c r="G52" s="30">
        <v>4</v>
      </c>
      <c r="H52" s="30">
        <v>3.5</v>
      </c>
      <c r="I52" s="30">
        <f t="shared" si="2"/>
        <v>-0.5</v>
      </c>
      <c r="J52" s="68" t="s">
        <v>232</v>
      </c>
      <c r="K52" s="28"/>
    </row>
    <row r="53" spans="1:11" ht="12.5" x14ac:dyDescent="0.25">
      <c r="A53" s="33">
        <v>45189</v>
      </c>
      <c r="B53" s="28" t="s">
        <v>16</v>
      </c>
      <c r="C53" s="12" t="s">
        <v>114</v>
      </c>
      <c r="D53" s="28" t="s">
        <v>116</v>
      </c>
      <c r="E53" s="13" t="s">
        <v>64</v>
      </c>
      <c r="F53" s="13" t="s">
        <v>44</v>
      </c>
      <c r="G53" s="30">
        <v>4</v>
      </c>
      <c r="H53" s="30">
        <v>3.5</v>
      </c>
      <c r="I53" s="30">
        <f t="shared" si="2"/>
        <v>-0.5</v>
      </c>
      <c r="J53" s="29"/>
      <c r="K53" s="28" t="s">
        <v>120</v>
      </c>
    </row>
    <row r="54" spans="1:11" ht="12.5" x14ac:dyDescent="0.25">
      <c r="A54" s="33">
        <v>45190</v>
      </c>
      <c r="B54" s="28" t="s">
        <v>16</v>
      </c>
      <c r="C54" s="12" t="s">
        <v>117</v>
      </c>
      <c r="D54" s="28" t="s">
        <v>118</v>
      </c>
      <c r="E54" s="13" t="s">
        <v>49</v>
      </c>
      <c r="F54" s="13" t="s">
        <v>58</v>
      </c>
      <c r="G54" s="30">
        <v>4</v>
      </c>
      <c r="H54" s="30">
        <v>4</v>
      </c>
      <c r="I54" s="30">
        <f t="shared" si="2"/>
        <v>0</v>
      </c>
      <c r="J54" s="29"/>
      <c r="K54" s="28"/>
    </row>
    <row r="55" spans="1:11" ht="12.5" x14ac:dyDescent="0.25">
      <c r="A55" s="33">
        <v>45190</v>
      </c>
      <c r="B55" s="28" t="s">
        <v>16</v>
      </c>
      <c r="C55" s="12" t="s">
        <v>117</v>
      </c>
      <c r="D55" s="28" t="s">
        <v>119</v>
      </c>
      <c r="E55" s="13" t="s">
        <v>49</v>
      </c>
      <c r="F55" s="13" t="s">
        <v>58</v>
      </c>
      <c r="G55" s="30">
        <v>4</v>
      </c>
      <c r="H55" s="30">
        <v>4</v>
      </c>
      <c r="I55" s="30">
        <f t="shared" si="2"/>
        <v>0</v>
      </c>
      <c r="J55" s="29"/>
      <c r="K55" s="28"/>
    </row>
    <row r="56" spans="1:11" ht="12.5" x14ac:dyDescent="0.25">
      <c r="A56" s="33">
        <v>45191</v>
      </c>
      <c r="B56" s="28" t="s">
        <v>16</v>
      </c>
      <c r="C56" s="12" t="s">
        <v>121</v>
      </c>
      <c r="D56" s="28" t="s">
        <v>110</v>
      </c>
      <c r="E56" s="13" t="s">
        <v>64</v>
      </c>
      <c r="F56" s="13" t="s">
        <v>44</v>
      </c>
      <c r="G56" s="30">
        <v>0.15</v>
      </c>
      <c r="H56" s="30">
        <v>0.15</v>
      </c>
      <c r="I56" s="30">
        <f t="shared" si="2"/>
        <v>0</v>
      </c>
      <c r="J56" s="29"/>
      <c r="K56" s="28"/>
    </row>
    <row r="57" spans="1:11" ht="12.5" x14ac:dyDescent="0.25">
      <c r="A57" s="33">
        <v>45191</v>
      </c>
      <c r="B57" s="28" t="s">
        <v>16</v>
      </c>
      <c r="C57" s="12" t="s">
        <v>121</v>
      </c>
      <c r="D57" s="28" t="s">
        <v>122</v>
      </c>
      <c r="E57" s="13" t="s">
        <v>64</v>
      </c>
      <c r="F57" s="13" t="s">
        <v>44</v>
      </c>
      <c r="G57" s="30">
        <v>0.5</v>
      </c>
      <c r="H57" s="30">
        <v>0.4</v>
      </c>
      <c r="I57" s="30">
        <f t="shared" si="2"/>
        <v>-9.9999999999999978E-2</v>
      </c>
      <c r="J57" s="29"/>
      <c r="K57" s="28"/>
    </row>
    <row r="58" spans="1:11" ht="12.5" x14ac:dyDescent="0.25">
      <c r="A58" s="33">
        <v>45191</v>
      </c>
      <c r="B58" s="28" t="s">
        <v>16</v>
      </c>
      <c r="C58" s="12" t="s">
        <v>121</v>
      </c>
      <c r="D58" s="28" t="s">
        <v>123</v>
      </c>
      <c r="E58" s="13" t="s">
        <v>64</v>
      </c>
      <c r="F58" s="13" t="s">
        <v>50</v>
      </c>
      <c r="G58" s="30">
        <v>3</v>
      </c>
      <c r="H58" s="30">
        <v>4</v>
      </c>
      <c r="I58" s="30">
        <f t="shared" si="2"/>
        <v>1</v>
      </c>
      <c r="J58" s="68" t="s">
        <v>233</v>
      </c>
      <c r="K58" s="28"/>
    </row>
    <row r="59" spans="1:11" ht="12.5" x14ac:dyDescent="0.25">
      <c r="A59" s="33">
        <v>45191</v>
      </c>
      <c r="B59" s="28" t="s">
        <v>16</v>
      </c>
      <c r="C59" s="12" t="s">
        <v>124</v>
      </c>
      <c r="D59" s="28" t="s">
        <v>125</v>
      </c>
      <c r="E59" s="13" t="s">
        <v>61</v>
      </c>
      <c r="F59" s="13" t="s">
        <v>50</v>
      </c>
      <c r="G59" s="30">
        <v>0.3</v>
      </c>
      <c r="H59" s="30">
        <v>0.1</v>
      </c>
      <c r="I59" s="30">
        <f t="shared" si="2"/>
        <v>-0.19999999999999998</v>
      </c>
      <c r="J59" s="68" t="s">
        <v>142</v>
      </c>
      <c r="K59" s="21"/>
    </row>
    <row r="60" spans="1:11" ht="12.5" x14ac:dyDescent="0.25">
      <c r="A60" s="19"/>
      <c r="B60" s="21"/>
      <c r="C60" s="21"/>
      <c r="D60" s="21"/>
      <c r="E60" s="21" t="s">
        <v>17</v>
      </c>
      <c r="F60" s="21"/>
      <c r="G60" s="24">
        <f>SUM(G44:G59)</f>
        <v>33.9</v>
      </c>
      <c r="H60" s="24">
        <f>SUM(H44:H59)</f>
        <v>34.15</v>
      </c>
      <c r="I60" s="24">
        <f t="shared" si="2"/>
        <v>0.25</v>
      </c>
      <c r="J60" s="25"/>
      <c r="K60" s="51" t="s">
        <v>126</v>
      </c>
    </row>
    <row r="61" spans="1:11" ht="18.75" customHeight="1" x14ac:dyDescent="0.25">
      <c r="A61" s="55" t="s">
        <v>21</v>
      </c>
      <c r="B61" s="50"/>
      <c r="C61" s="50"/>
      <c r="D61" s="50"/>
      <c r="E61" s="50"/>
      <c r="F61" s="50"/>
      <c r="G61" s="50"/>
      <c r="H61" s="50"/>
      <c r="I61" s="50"/>
      <c r="J61" s="50"/>
      <c r="K61" s="51"/>
    </row>
    <row r="62" spans="1:11" ht="12.5" x14ac:dyDescent="0.25">
      <c r="A62" s="34" t="s">
        <v>12</v>
      </c>
      <c r="B62" s="56" t="s">
        <v>13</v>
      </c>
      <c r="C62" s="50"/>
      <c r="D62" s="50"/>
      <c r="E62" s="50"/>
      <c r="F62" s="50"/>
      <c r="G62" s="50"/>
      <c r="H62" s="50"/>
      <c r="I62" s="50"/>
      <c r="J62" s="50"/>
      <c r="K62" s="51"/>
    </row>
    <row r="63" spans="1:11" ht="27.75" customHeight="1" x14ac:dyDescent="0.25">
      <c r="A63" s="35" t="s">
        <v>14</v>
      </c>
      <c r="B63" s="56" t="s">
        <v>15</v>
      </c>
      <c r="C63" s="50"/>
      <c r="D63" s="50" t="s">
        <v>132</v>
      </c>
      <c r="E63" s="50"/>
      <c r="F63" s="50"/>
      <c r="G63" s="50"/>
      <c r="H63" s="50"/>
      <c r="I63" s="50"/>
      <c r="J63" s="50"/>
      <c r="K63" s="28"/>
    </row>
    <row r="64" spans="1:11" ht="12.5" x14ac:dyDescent="0.25">
      <c r="A64" s="33">
        <v>45194</v>
      </c>
      <c r="B64" s="28" t="s">
        <v>16</v>
      </c>
      <c r="C64" s="12" t="s">
        <v>127</v>
      </c>
      <c r="D64" s="28" t="s">
        <v>128</v>
      </c>
      <c r="E64" s="13" t="s">
        <v>63</v>
      </c>
      <c r="F64" s="13" t="s">
        <v>44</v>
      </c>
      <c r="G64" s="30">
        <v>1.1499999999999999</v>
      </c>
      <c r="H64" s="30">
        <v>1.25</v>
      </c>
      <c r="I64" s="30">
        <f t="shared" ref="I64:I84" si="3">H64-G64</f>
        <v>0.10000000000000009</v>
      </c>
      <c r="J64" s="29"/>
      <c r="K64" s="28" t="s">
        <v>141</v>
      </c>
    </row>
    <row r="65" spans="1:11" ht="12.5" x14ac:dyDescent="0.25">
      <c r="A65" s="33">
        <v>45194</v>
      </c>
      <c r="B65" s="28" t="s">
        <v>16</v>
      </c>
      <c r="C65" s="12" t="s">
        <v>127</v>
      </c>
      <c r="D65" s="28" t="s">
        <v>129</v>
      </c>
      <c r="E65" s="13" t="s">
        <v>64</v>
      </c>
      <c r="F65" s="13" t="s">
        <v>44</v>
      </c>
      <c r="G65" s="30">
        <v>1.5</v>
      </c>
      <c r="H65" s="30">
        <v>2</v>
      </c>
      <c r="I65" s="30">
        <f t="shared" si="3"/>
        <v>0.5</v>
      </c>
      <c r="J65" s="68" t="s">
        <v>234</v>
      </c>
      <c r="K65" s="28"/>
    </row>
    <row r="66" spans="1:11" ht="12.5" x14ac:dyDescent="0.25">
      <c r="A66" s="33">
        <v>45194</v>
      </c>
      <c r="B66" s="28" t="s">
        <v>16</v>
      </c>
      <c r="C66" s="12" t="s">
        <v>127</v>
      </c>
      <c r="D66" s="28" t="s">
        <v>130</v>
      </c>
      <c r="E66" s="13" t="s">
        <v>64</v>
      </c>
      <c r="F66" s="13" t="s">
        <v>44</v>
      </c>
      <c r="G66" s="30">
        <v>2.5</v>
      </c>
      <c r="H66" s="30">
        <v>1.2</v>
      </c>
      <c r="I66" s="30">
        <f t="shared" si="3"/>
        <v>-1.3</v>
      </c>
      <c r="J66" s="29"/>
      <c r="K66" s="28"/>
    </row>
    <row r="67" spans="1:11" ht="12.5" x14ac:dyDescent="0.25">
      <c r="A67" s="33">
        <v>45194</v>
      </c>
      <c r="B67" s="28" t="s">
        <v>16</v>
      </c>
      <c r="C67" s="12" t="s">
        <v>127</v>
      </c>
      <c r="D67" s="28" t="s">
        <v>131</v>
      </c>
      <c r="E67" s="13" t="s">
        <v>64</v>
      </c>
      <c r="F67" s="13" t="s">
        <v>53</v>
      </c>
      <c r="G67" s="30">
        <v>2</v>
      </c>
      <c r="H67" s="30">
        <v>2.2999999999999998</v>
      </c>
      <c r="I67" s="30">
        <f t="shared" si="3"/>
        <v>0.29999999999999982</v>
      </c>
      <c r="J67" s="29"/>
      <c r="K67" s="28"/>
    </row>
    <row r="68" spans="1:11" ht="12.5" x14ac:dyDescent="0.25">
      <c r="A68" s="33">
        <v>45195</v>
      </c>
      <c r="B68" s="28" t="s">
        <v>16</v>
      </c>
      <c r="C68" s="12" t="s">
        <v>133</v>
      </c>
      <c r="D68" s="28" t="s">
        <v>135</v>
      </c>
      <c r="E68" s="13" t="s">
        <v>64</v>
      </c>
      <c r="F68" s="13" t="s">
        <v>44</v>
      </c>
      <c r="G68" s="30">
        <v>0.15</v>
      </c>
      <c r="H68" s="30">
        <v>0.15</v>
      </c>
      <c r="I68" s="30">
        <f t="shared" si="3"/>
        <v>0</v>
      </c>
      <c r="J68" s="29"/>
      <c r="K68" s="28"/>
    </row>
    <row r="69" spans="1:11" ht="12.5" x14ac:dyDescent="0.25">
      <c r="A69" s="33" t="s">
        <v>134</v>
      </c>
      <c r="B69" s="28" t="s">
        <v>16</v>
      </c>
      <c r="C69" s="12" t="s">
        <v>133</v>
      </c>
      <c r="D69" s="28" t="s">
        <v>136</v>
      </c>
      <c r="E69" s="13" t="s">
        <v>64</v>
      </c>
      <c r="F69" s="13" t="s">
        <v>44</v>
      </c>
      <c r="G69" s="30">
        <v>1.5</v>
      </c>
      <c r="H69" s="30">
        <v>0.45</v>
      </c>
      <c r="I69" s="30">
        <f t="shared" si="3"/>
        <v>-1.05</v>
      </c>
      <c r="J69" s="68" t="s">
        <v>235</v>
      </c>
      <c r="K69" s="28"/>
    </row>
    <row r="70" spans="1:11" ht="12.5" x14ac:dyDescent="0.25">
      <c r="A70" s="33">
        <v>45195</v>
      </c>
      <c r="B70" s="28" t="s">
        <v>16</v>
      </c>
      <c r="C70" s="12" t="s">
        <v>133</v>
      </c>
      <c r="D70" s="28" t="s">
        <v>137</v>
      </c>
      <c r="E70" s="13" t="s">
        <v>64</v>
      </c>
      <c r="F70" s="13" t="s">
        <v>44</v>
      </c>
      <c r="G70" s="30">
        <v>1</v>
      </c>
      <c r="H70" s="30">
        <v>1.1499999999999999</v>
      </c>
      <c r="I70" s="30">
        <f t="shared" si="3"/>
        <v>0.14999999999999991</v>
      </c>
      <c r="J70" s="29"/>
      <c r="K70" s="28"/>
    </row>
    <row r="71" spans="1:11" ht="12.5" x14ac:dyDescent="0.25">
      <c r="A71" s="33">
        <v>45195</v>
      </c>
      <c r="B71" s="28" t="s">
        <v>16</v>
      </c>
      <c r="C71" s="12" t="s">
        <v>133</v>
      </c>
      <c r="D71" s="28" t="s">
        <v>138</v>
      </c>
      <c r="E71" s="13" t="s">
        <v>64</v>
      </c>
      <c r="F71" s="13" t="s">
        <v>44</v>
      </c>
      <c r="G71" s="30">
        <v>1.5</v>
      </c>
      <c r="H71" s="30">
        <v>1.3</v>
      </c>
      <c r="I71" s="30">
        <f t="shared" si="3"/>
        <v>-0.19999999999999996</v>
      </c>
      <c r="J71" s="29"/>
      <c r="K71" s="28"/>
    </row>
    <row r="72" spans="1:11" ht="12.5" x14ac:dyDescent="0.25">
      <c r="A72" s="33">
        <v>45195</v>
      </c>
      <c r="B72" s="28" t="s">
        <v>16</v>
      </c>
      <c r="C72" s="12" t="s">
        <v>133</v>
      </c>
      <c r="D72" s="28" t="s">
        <v>139</v>
      </c>
      <c r="E72" s="13" t="s">
        <v>64</v>
      </c>
      <c r="F72" s="13" t="s">
        <v>44</v>
      </c>
      <c r="G72" s="30">
        <v>1.5</v>
      </c>
      <c r="H72" s="30">
        <v>1.3</v>
      </c>
      <c r="I72" s="30">
        <f t="shared" si="3"/>
        <v>-0.19999999999999996</v>
      </c>
      <c r="J72" s="29"/>
      <c r="K72" s="28"/>
    </row>
    <row r="73" spans="1:11" ht="12.5" x14ac:dyDescent="0.25">
      <c r="A73" s="33">
        <v>45195</v>
      </c>
      <c r="B73" s="28" t="s">
        <v>16</v>
      </c>
      <c r="C73" s="12" t="s">
        <v>133</v>
      </c>
      <c r="D73" s="28" t="s">
        <v>143</v>
      </c>
      <c r="E73" s="13" t="s">
        <v>64</v>
      </c>
      <c r="F73" s="13" t="s">
        <v>55</v>
      </c>
      <c r="G73" s="30">
        <v>1</v>
      </c>
      <c r="H73" s="30">
        <v>1.5</v>
      </c>
      <c r="I73" s="30">
        <f t="shared" si="3"/>
        <v>0.5</v>
      </c>
      <c r="J73" s="29"/>
      <c r="K73" s="28"/>
    </row>
    <row r="74" spans="1:11" ht="12.5" x14ac:dyDescent="0.25">
      <c r="A74" s="33">
        <v>45195</v>
      </c>
      <c r="B74" s="28" t="s">
        <v>16</v>
      </c>
      <c r="C74" s="12" t="s">
        <v>133</v>
      </c>
      <c r="D74" s="28" t="s">
        <v>140</v>
      </c>
      <c r="E74" s="13" t="s">
        <v>46</v>
      </c>
      <c r="F74" s="13" t="s">
        <v>44</v>
      </c>
      <c r="G74" s="30">
        <v>1</v>
      </c>
      <c r="H74" s="30">
        <v>1</v>
      </c>
      <c r="I74" s="30">
        <f t="shared" si="3"/>
        <v>0</v>
      </c>
      <c r="J74" s="29"/>
      <c r="K74" s="28"/>
    </row>
    <row r="75" spans="1:11" ht="12.5" x14ac:dyDescent="0.25">
      <c r="A75" s="33">
        <v>45196</v>
      </c>
      <c r="B75" s="28" t="s">
        <v>16</v>
      </c>
      <c r="C75" s="12" t="s">
        <v>144</v>
      </c>
      <c r="D75" s="28" t="s">
        <v>145</v>
      </c>
      <c r="E75" s="13" t="s">
        <v>64</v>
      </c>
      <c r="F75" s="13" t="s">
        <v>44</v>
      </c>
      <c r="G75" s="30">
        <v>1</v>
      </c>
      <c r="H75" s="30">
        <v>1</v>
      </c>
      <c r="I75" s="30">
        <f t="shared" si="3"/>
        <v>0</v>
      </c>
      <c r="J75" s="29"/>
      <c r="K75" s="28" t="s">
        <v>147</v>
      </c>
    </row>
    <row r="76" spans="1:11" ht="12.5" x14ac:dyDescent="0.25">
      <c r="A76" s="33">
        <v>45196</v>
      </c>
      <c r="B76" s="28" t="s">
        <v>16</v>
      </c>
      <c r="C76" s="12" t="s">
        <v>144</v>
      </c>
      <c r="D76" s="28" t="s">
        <v>57</v>
      </c>
      <c r="E76" s="13" t="s">
        <v>64</v>
      </c>
      <c r="F76" s="13" t="s">
        <v>44</v>
      </c>
      <c r="G76" s="30">
        <v>6</v>
      </c>
      <c r="H76" s="30">
        <v>6.5</v>
      </c>
      <c r="I76" s="30">
        <f t="shared" si="3"/>
        <v>0.5</v>
      </c>
      <c r="J76" s="68" t="s">
        <v>237</v>
      </c>
      <c r="K76" s="28"/>
    </row>
    <row r="77" spans="1:11" ht="12.5" x14ac:dyDescent="0.25">
      <c r="A77" s="33">
        <v>45196</v>
      </c>
      <c r="B77" s="28" t="s">
        <v>16</v>
      </c>
      <c r="C77" s="12" t="s">
        <v>144</v>
      </c>
      <c r="D77" s="28" t="s">
        <v>146</v>
      </c>
      <c r="E77" s="13" t="s">
        <v>64</v>
      </c>
      <c r="F77" s="13" t="s">
        <v>44</v>
      </c>
      <c r="G77" s="30">
        <v>1</v>
      </c>
      <c r="H77" s="30">
        <v>2.5</v>
      </c>
      <c r="I77" s="30">
        <f t="shared" si="3"/>
        <v>1.5</v>
      </c>
      <c r="J77" s="68" t="s">
        <v>236</v>
      </c>
      <c r="K77" s="28"/>
    </row>
    <row r="78" spans="1:11" ht="12.5" x14ac:dyDescent="0.25">
      <c r="A78" s="33">
        <v>45197</v>
      </c>
      <c r="B78" s="28" t="s">
        <v>16</v>
      </c>
      <c r="C78" s="12" t="s">
        <v>148</v>
      </c>
      <c r="D78" s="28" t="s">
        <v>149</v>
      </c>
      <c r="E78" s="13" t="s">
        <v>49</v>
      </c>
      <c r="F78" s="13" t="s">
        <v>58</v>
      </c>
      <c r="G78" s="30">
        <v>4</v>
      </c>
      <c r="H78" s="30">
        <v>4</v>
      </c>
      <c r="I78" s="30">
        <f t="shared" si="3"/>
        <v>0</v>
      </c>
      <c r="J78" s="29"/>
      <c r="K78" s="28"/>
    </row>
    <row r="79" spans="1:11" ht="12.5" x14ac:dyDescent="0.25">
      <c r="A79" s="33">
        <v>45197</v>
      </c>
      <c r="B79" s="28" t="s">
        <v>16</v>
      </c>
      <c r="C79" s="12" t="s">
        <v>148</v>
      </c>
      <c r="D79" s="28" t="s">
        <v>150</v>
      </c>
      <c r="E79" s="13" t="s">
        <v>49</v>
      </c>
      <c r="F79" s="13" t="s">
        <v>58</v>
      </c>
      <c r="G79" s="30">
        <v>4</v>
      </c>
      <c r="H79" s="30">
        <v>4</v>
      </c>
      <c r="I79" s="30">
        <f t="shared" si="3"/>
        <v>0</v>
      </c>
      <c r="J79" s="29"/>
      <c r="K79" s="28"/>
    </row>
    <row r="80" spans="1:11" ht="12.5" x14ac:dyDescent="0.25">
      <c r="A80" s="33">
        <v>45198</v>
      </c>
      <c r="B80" s="28" t="s">
        <v>16</v>
      </c>
      <c r="C80" s="12" t="s">
        <v>151</v>
      </c>
      <c r="D80" s="28" t="s">
        <v>152</v>
      </c>
      <c r="E80" s="13" t="s">
        <v>46</v>
      </c>
      <c r="F80" s="13" t="s">
        <v>44</v>
      </c>
      <c r="G80" s="30">
        <v>0.5</v>
      </c>
      <c r="H80" s="30">
        <v>1</v>
      </c>
      <c r="I80" s="30">
        <f t="shared" si="3"/>
        <v>0.5</v>
      </c>
      <c r="J80" s="29"/>
      <c r="K80" s="28"/>
    </row>
    <row r="81" spans="1:11" ht="12.5" x14ac:dyDescent="0.25">
      <c r="A81" s="33">
        <v>45198</v>
      </c>
      <c r="B81" s="28" t="s">
        <v>16</v>
      </c>
      <c r="C81" s="12" t="s">
        <v>151</v>
      </c>
      <c r="D81" s="28" t="s">
        <v>153</v>
      </c>
      <c r="E81" s="13" t="s">
        <v>64</v>
      </c>
      <c r="F81" s="13" t="s">
        <v>44</v>
      </c>
      <c r="G81" s="30">
        <v>3</v>
      </c>
      <c r="H81" s="30">
        <v>3.5</v>
      </c>
      <c r="I81" s="30">
        <f t="shared" si="3"/>
        <v>0.5</v>
      </c>
      <c r="J81" s="29"/>
      <c r="K81" s="28"/>
    </row>
    <row r="82" spans="1:11" ht="12.5" x14ac:dyDescent="0.25">
      <c r="A82" s="33">
        <v>45198</v>
      </c>
      <c r="B82" s="28" t="s">
        <v>16</v>
      </c>
      <c r="C82" s="12" t="s">
        <v>151</v>
      </c>
      <c r="D82" s="28" t="s">
        <v>154</v>
      </c>
      <c r="E82" s="13" t="s">
        <v>52</v>
      </c>
      <c r="F82" s="13" t="s">
        <v>44</v>
      </c>
      <c r="G82" s="30">
        <v>3</v>
      </c>
      <c r="H82" s="30">
        <v>4</v>
      </c>
      <c r="I82" s="30">
        <f t="shared" si="3"/>
        <v>1</v>
      </c>
      <c r="J82" s="29"/>
      <c r="K82" s="28"/>
    </row>
    <row r="83" spans="1:11" ht="12.5" x14ac:dyDescent="0.25">
      <c r="A83" s="33">
        <v>45198</v>
      </c>
      <c r="B83" s="28" t="s">
        <v>16</v>
      </c>
      <c r="C83" s="12" t="s">
        <v>151</v>
      </c>
      <c r="D83" s="28" t="s">
        <v>155</v>
      </c>
      <c r="E83" s="13" t="s">
        <v>46</v>
      </c>
      <c r="F83" s="13" t="s">
        <v>44</v>
      </c>
      <c r="G83" s="30">
        <v>0.5</v>
      </c>
      <c r="H83" s="30">
        <v>0.2</v>
      </c>
      <c r="I83" s="30">
        <f t="shared" si="3"/>
        <v>-0.3</v>
      </c>
      <c r="J83" s="29"/>
      <c r="K83" s="28"/>
    </row>
    <row r="84" spans="1:11" ht="12.5" x14ac:dyDescent="0.25">
      <c r="A84" s="19"/>
      <c r="B84" s="21"/>
      <c r="C84" s="21"/>
      <c r="D84" s="21"/>
      <c r="E84" s="21" t="s">
        <v>17</v>
      </c>
      <c r="F84" s="21"/>
      <c r="G84" s="24">
        <f>SUM(G64:G83)</f>
        <v>37.799999999999997</v>
      </c>
      <c r="H84" s="24">
        <f>SUM(H64:H83)</f>
        <v>40.300000000000004</v>
      </c>
      <c r="I84" s="24">
        <f t="shared" si="3"/>
        <v>2.5000000000000071</v>
      </c>
      <c r="J84" s="25"/>
      <c r="K84" s="51"/>
    </row>
    <row r="85" spans="1:11" ht="18.75" customHeight="1" x14ac:dyDescent="0.25">
      <c r="A85" s="57" t="s">
        <v>22</v>
      </c>
      <c r="B85" s="50"/>
      <c r="C85" s="50"/>
      <c r="D85" s="50"/>
      <c r="E85" s="50"/>
      <c r="F85" s="50"/>
      <c r="G85" s="50"/>
      <c r="H85" s="50"/>
      <c r="I85" s="50"/>
      <c r="J85" s="50"/>
      <c r="K85" s="51"/>
    </row>
    <row r="86" spans="1:11" ht="12.5" x14ac:dyDescent="0.25">
      <c r="A86" s="36" t="s">
        <v>12</v>
      </c>
      <c r="B86" s="58" t="s">
        <v>13</v>
      </c>
      <c r="C86" s="50"/>
      <c r="D86" s="50"/>
      <c r="E86" s="50"/>
      <c r="F86" s="50"/>
      <c r="G86" s="50"/>
      <c r="H86" s="50"/>
      <c r="I86" s="50"/>
      <c r="J86" s="50"/>
      <c r="K86" s="51"/>
    </row>
    <row r="87" spans="1:11" ht="27.75" customHeight="1" x14ac:dyDescent="0.25">
      <c r="A87" s="37" t="s">
        <v>14</v>
      </c>
      <c r="B87" s="58" t="s">
        <v>15</v>
      </c>
      <c r="C87" s="50"/>
      <c r="D87" s="50"/>
      <c r="E87" s="50"/>
      <c r="F87" s="50"/>
      <c r="G87" s="50"/>
      <c r="H87" s="50"/>
      <c r="I87" s="50"/>
      <c r="J87" s="50"/>
      <c r="K87" s="28"/>
    </row>
    <row r="88" spans="1:11" ht="12.5" x14ac:dyDescent="0.25">
      <c r="A88" s="33">
        <v>45201</v>
      </c>
      <c r="B88" s="28" t="s">
        <v>16</v>
      </c>
      <c r="C88" s="12" t="s">
        <v>161</v>
      </c>
      <c r="D88" s="28" t="s">
        <v>156</v>
      </c>
      <c r="E88" s="13" t="s">
        <v>64</v>
      </c>
      <c r="F88" s="13" t="s">
        <v>44</v>
      </c>
      <c r="G88" s="30">
        <v>0.5</v>
      </c>
      <c r="H88" s="30">
        <v>0.4</v>
      </c>
      <c r="I88" s="30">
        <f t="shared" ref="I88:I111" si="4">H88-G88</f>
        <v>-9.9999999999999978E-2</v>
      </c>
      <c r="J88" s="29"/>
      <c r="K88" s="28"/>
    </row>
    <row r="89" spans="1:11" ht="12.5" x14ac:dyDescent="0.25">
      <c r="A89" s="33">
        <v>45201</v>
      </c>
      <c r="B89" s="28" t="s">
        <v>16</v>
      </c>
      <c r="C89" s="12" t="s">
        <v>161</v>
      </c>
      <c r="D89" s="28" t="s">
        <v>157</v>
      </c>
      <c r="E89" s="13" t="s">
        <v>57</v>
      </c>
      <c r="F89" s="13" t="s">
        <v>53</v>
      </c>
      <c r="G89" s="30">
        <v>3</v>
      </c>
      <c r="H89" s="30">
        <v>5</v>
      </c>
      <c r="I89" s="30">
        <f t="shared" si="4"/>
        <v>2</v>
      </c>
      <c r="J89" s="68" t="s">
        <v>253</v>
      </c>
      <c r="K89" s="28"/>
    </row>
    <row r="90" spans="1:11" ht="12.5" x14ac:dyDescent="0.25">
      <c r="A90" s="33">
        <v>45201</v>
      </c>
      <c r="B90" s="28" t="s">
        <v>16</v>
      </c>
      <c r="C90" s="12" t="s">
        <v>161</v>
      </c>
      <c r="D90" s="28" t="s">
        <v>158</v>
      </c>
      <c r="E90" s="13" t="s">
        <v>64</v>
      </c>
      <c r="F90" s="13" t="s">
        <v>44</v>
      </c>
      <c r="G90" s="30">
        <v>0.5</v>
      </c>
      <c r="H90" s="30">
        <v>0.6</v>
      </c>
      <c r="I90" s="30">
        <f t="shared" si="4"/>
        <v>9.9999999999999978E-2</v>
      </c>
      <c r="J90" s="29"/>
      <c r="K90" s="28"/>
    </row>
    <row r="91" spans="1:11" ht="12.5" x14ac:dyDescent="0.25">
      <c r="A91" s="33">
        <v>45201</v>
      </c>
      <c r="B91" s="28" t="s">
        <v>16</v>
      </c>
      <c r="C91" s="12" t="s">
        <v>161</v>
      </c>
      <c r="D91" s="28" t="s">
        <v>159</v>
      </c>
      <c r="E91" s="13" t="s">
        <v>57</v>
      </c>
      <c r="F91" s="13" t="s">
        <v>53</v>
      </c>
      <c r="G91" s="30">
        <v>3.5</v>
      </c>
      <c r="H91" s="30">
        <v>4</v>
      </c>
      <c r="I91" s="30">
        <f t="shared" si="4"/>
        <v>0.5</v>
      </c>
      <c r="J91" s="68" t="s">
        <v>252</v>
      </c>
      <c r="K91" s="28"/>
    </row>
    <row r="92" spans="1:11" ht="12.5" x14ac:dyDescent="0.25">
      <c r="A92" s="33">
        <v>45201</v>
      </c>
      <c r="B92" s="28" t="s">
        <v>16</v>
      </c>
      <c r="C92" s="12" t="s">
        <v>161</v>
      </c>
      <c r="D92" s="28" t="s">
        <v>160</v>
      </c>
      <c r="E92" s="13" t="s">
        <v>64</v>
      </c>
      <c r="F92" s="13" t="s">
        <v>44</v>
      </c>
      <c r="G92" s="30">
        <v>0.5</v>
      </c>
      <c r="H92" s="30">
        <v>0.4</v>
      </c>
      <c r="I92" s="30">
        <f t="shared" si="4"/>
        <v>-9.9999999999999978E-2</v>
      </c>
      <c r="J92" s="29"/>
      <c r="K92" s="28"/>
    </row>
    <row r="93" spans="1:11" ht="12.5" x14ac:dyDescent="0.25">
      <c r="A93" s="33">
        <v>45202</v>
      </c>
      <c r="B93" s="28" t="s">
        <v>16</v>
      </c>
      <c r="C93" s="12" t="s">
        <v>162</v>
      </c>
      <c r="D93" s="28" t="s">
        <v>163</v>
      </c>
      <c r="E93" s="13" t="s">
        <v>64</v>
      </c>
      <c r="F93" s="13" t="s">
        <v>44</v>
      </c>
      <c r="G93" s="30">
        <v>0.5</v>
      </c>
      <c r="H93" s="30">
        <v>0.5</v>
      </c>
      <c r="I93" s="30">
        <f t="shared" si="4"/>
        <v>0</v>
      </c>
      <c r="J93" s="29"/>
      <c r="K93" s="28"/>
    </row>
    <row r="94" spans="1:11" ht="12.5" x14ac:dyDescent="0.25">
      <c r="A94" s="33">
        <v>45202</v>
      </c>
      <c r="B94" s="28" t="s">
        <v>16</v>
      </c>
      <c r="C94" s="12" t="s">
        <v>162</v>
      </c>
      <c r="D94" s="28" t="s">
        <v>164</v>
      </c>
      <c r="E94" s="13" t="s">
        <v>64</v>
      </c>
      <c r="F94" s="13" t="s">
        <v>44</v>
      </c>
      <c r="G94" s="30">
        <v>0.5</v>
      </c>
      <c r="H94" s="30">
        <v>0.5</v>
      </c>
      <c r="I94" s="30">
        <f t="shared" si="4"/>
        <v>0</v>
      </c>
      <c r="J94" s="29"/>
      <c r="K94" s="28"/>
    </row>
    <row r="95" spans="1:11" ht="12.5" x14ac:dyDescent="0.25">
      <c r="A95" s="33">
        <v>45202</v>
      </c>
      <c r="B95" s="28" t="s">
        <v>16</v>
      </c>
      <c r="C95" s="12" t="s">
        <v>162</v>
      </c>
      <c r="D95" s="28" t="s">
        <v>165</v>
      </c>
      <c r="E95" s="13" t="s">
        <v>52</v>
      </c>
      <c r="F95" s="13" t="s">
        <v>44</v>
      </c>
      <c r="G95" s="30">
        <v>2</v>
      </c>
      <c r="H95" s="30">
        <v>2</v>
      </c>
      <c r="I95" s="30">
        <f t="shared" si="4"/>
        <v>0</v>
      </c>
      <c r="J95" s="29"/>
      <c r="K95" s="28"/>
    </row>
    <row r="96" spans="1:11" ht="12.5" x14ac:dyDescent="0.25">
      <c r="A96" s="33">
        <v>45202</v>
      </c>
      <c r="B96" s="28" t="s">
        <v>16</v>
      </c>
      <c r="C96" s="12" t="s">
        <v>162</v>
      </c>
      <c r="D96" s="28" t="s">
        <v>166</v>
      </c>
      <c r="E96" s="13" t="s">
        <v>63</v>
      </c>
      <c r="F96" s="13" t="s">
        <v>44</v>
      </c>
      <c r="G96" s="30">
        <v>1</v>
      </c>
      <c r="H96" s="30">
        <v>0.5</v>
      </c>
      <c r="I96" s="30">
        <f t="shared" si="4"/>
        <v>-0.5</v>
      </c>
      <c r="J96" s="29"/>
      <c r="K96" s="28"/>
    </row>
    <row r="97" spans="1:11" ht="12.5" x14ac:dyDescent="0.25">
      <c r="A97" s="33">
        <v>45202</v>
      </c>
      <c r="B97" s="28" t="s">
        <v>16</v>
      </c>
      <c r="C97" s="12" t="s">
        <v>162</v>
      </c>
      <c r="D97" s="28" t="s">
        <v>167</v>
      </c>
      <c r="E97" s="13" t="s">
        <v>63</v>
      </c>
      <c r="F97" s="13" t="s">
        <v>44</v>
      </c>
      <c r="G97" s="30">
        <v>0.5</v>
      </c>
      <c r="H97" s="30">
        <v>0.2</v>
      </c>
      <c r="I97" s="30">
        <f t="shared" si="4"/>
        <v>-0.3</v>
      </c>
      <c r="J97" s="29"/>
      <c r="K97" s="28"/>
    </row>
    <row r="98" spans="1:11" ht="12.5" x14ac:dyDescent="0.25">
      <c r="A98" s="33">
        <v>45202</v>
      </c>
      <c r="B98" s="28" t="s">
        <v>16</v>
      </c>
      <c r="C98" s="12" t="s">
        <v>162</v>
      </c>
      <c r="D98" s="28" t="s">
        <v>165</v>
      </c>
      <c r="E98" s="13" t="s">
        <v>52</v>
      </c>
      <c r="F98" s="13" t="s">
        <v>44</v>
      </c>
      <c r="G98" s="30">
        <v>2</v>
      </c>
      <c r="H98" s="30">
        <v>3</v>
      </c>
      <c r="I98" s="30">
        <f t="shared" si="4"/>
        <v>1</v>
      </c>
      <c r="J98" s="29"/>
      <c r="K98" s="28"/>
    </row>
    <row r="99" spans="1:11" ht="12.5" x14ac:dyDescent="0.25">
      <c r="A99" s="33">
        <v>45202</v>
      </c>
      <c r="B99" s="28" t="s">
        <v>16</v>
      </c>
      <c r="C99" s="12" t="s">
        <v>162</v>
      </c>
      <c r="D99" s="28" t="s">
        <v>168</v>
      </c>
      <c r="E99" s="13" t="s">
        <v>46</v>
      </c>
      <c r="F99" s="13" t="s">
        <v>44</v>
      </c>
      <c r="G99" s="30">
        <v>0.5</v>
      </c>
      <c r="H99" s="30">
        <v>0.5</v>
      </c>
      <c r="I99" s="30">
        <f t="shared" si="4"/>
        <v>0</v>
      </c>
      <c r="J99" s="29"/>
      <c r="K99" s="28"/>
    </row>
    <row r="100" spans="1:11" ht="12.5" x14ac:dyDescent="0.25">
      <c r="A100" s="33">
        <v>45203</v>
      </c>
      <c r="B100" s="28" t="s">
        <v>16</v>
      </c>
      <c r="C100" s="12" t="s">
        <v>172</v>
      </c>
      <c r="D100" s="28" t="s">
        <v>169</v>
      </c>
      <c r="E100" s="13" t="s">
        <v>64</v>
      </c>
      <c r="F100" s="13" t="s">
        <v>44</v>
      </c>
      <c r="G100" s="30">
        <v>1.5</v>
      </c>
      <c r="H100" s="30">
        <v>2</v>
      </c>
      <c r="I100" s="30">
        <f t="shared" si="4"/>
        <v>0.5</v>
      </c>
      <c r="J100" s="68" t="s">
        <v>174</v>
      </c>
      <c r="K100" s="28"/>
    </row>
    <row r="101" spans="1:11" ht="12.5" x14ac:dyDescent="0.25">
      <c r="A101" s="33">
        <v>45203</v>
      </c>
      <c r="B101" s="28" t="s">
        <v>16</v>
      </c>
      <c r="C101" s="12" t="s">
        <v>172</v>
      </c>
      <c r="D101" s="28" t="s">
        <v>170</v>
      </c>
      <c r="E101" s="13" t="s">
        <v>57</v>
      </c>
      <c r="F101" s="13" t="s">
        <v>53</v>
      </c>
      <c r="G101" s="30">
        <v>1.5</v>
      </c>
      <c r="H101" s="30">
        <v>1.3</v>
      </c>
      <c r="I101" s="30">
        <f t="shared" si="4"/>
        <v>-0.19999999999999996</v>
      </c>
      <c r="J101" s="68" t="s">
        <v>173</v>
      </c>
      <c r="K101" s="28"/>
    </row>
    <row r="102" spans="1:11" ht="12.5" x14ac:dyDescent="0.25">
      <c r="A102" s="33">
        <v>45203</v>
      </c>
      <c r="B102" s="28" t="s">
        <v>16</v>
      </c>
      <c r="C102" s="12" t="s">
        <v>172</v>
      </c>
      <c r="D102" s="28" t="s">
        <v>171</v>
      </c>
      <c r="E102" s="13" t="s">
        <v>64</v>
      </c>
      <c r="F102" s="13" t="s">
        <v>53</v>
      </c>
      <c r="G102" s="30">
        <v>1</v>
      </c>
      <c r="H102" s="30">
        <v>1.5</v>
      </c>
      <c r="I102" s="30">
        <f t="shared" si="4"/>
        <v>0.5</v>
      </c>
      <c r="J102" s="29"/>
      <c r="K102" s="28"/>
    </row>
    <row r="103" spans="1:11" ht="12.5" x14ac:dyDescent="0.25">
      <c r="A103" s="33">
        <v>45203</v>
      </c>
      <c r="B103" s="28" t="s">
        <v>16</v>
      </c>
      <c r="C103" s="12" t="s">
        <v>172</v>
      </c>
      <c r="D103" s="28" t="s">
        <v>160</v>
      </c>
      <c r="E103" s="13" t="s">
        <v>64</v>
      </c>
      <c r="F103" s="13" t="s">
        <v>53</v>
      </c>
      <c r="G103" s="30">
        <v>4</v>
      </c>
      <c r="H103" s="30">
        <v>3</v>
      </c>
      <c r="I103" s="30">
        <f t="shared" si="4"/>
        <v>-1</v>
      </c>
      <c r="J103" s="29"/>
      <c r="K103" s="28"/>
    </row>
    <row r="104" spans="1:11" ht="12.5" x14ac:dyDescent="0.25">
      <c r="A104" s="33">
        <v>45204</v>
      </c>
      <c r="B104" s="28" t="s">
        <v>16</v>
      </c>
      <c r="C104" s="12" t="s">
        <v>175</v>
      </c>
      <c r="D104" s="28" t="s">
        <v>177</v>
      </c>
      <c r="E104" s="13" t="s">
        <v>49</v>
      </c>
      <c r="F104" s="13" t="s">
        <v>58</v>
      </c>
      <c r="G104" s="30">
        <v>4</v>
      </c>
      <c r="H104" s="30">
        <v>3</v>
      </c>
      <c r="I104" s="30">
        <f t="shared" si="4"/>
        <v>-1</v>
      </c>
      <c r="J104" s="29"/>
      <c r="K104" s="28"/>
    </row>
    <row r="105" spans="1:11" ht="12.5" x14ac:dyDescent="0.25">
      <c r="A105" s="33">
        <v>45204</v>
      </c>
      <c r="B105" s="28" t="s">
        <v>16</v>
      </c>
      <c r="C105" s="12" t="s">
        <v>175</v>
      </c>
      <c r="D105" s="28" t="s">
        <v>176</v>
      </c>
      <c r="E105" s="13" t="s">
        <v>49</v>
      </c>
      <c r="F105" s="13" t="s">
        <v>58</v>
      </c>
      <c r="G105" s="30">
        <v>4</v>
      </c>
      <c r="H105" s="30">
        <v>3</v>
      </c>
      <c r="I105" s="30">
        <f t="shared" si="4"/>
        <v>-1</v>
      </c>
      <c r="J105" s="29"/>
      <c r="K105" s="28"/>
    </row>
    <row r="106" spans="1:11" ht="12.5" x14ac:dyDescent="0.25">
      <c r="A106" s="33">
        <v>45205</v>
      </c>
      <c r="B106" s="28" t="s">
        <v>16</v>
      </c>
      <c r="C106" s="12" t="s">
        <v>178</v>
      </c>
      <c r="D106" s="28" t="s">
        <v>163</v>
      </c>
      <c r="E106" s="13" t="s">
        <v>64</v>
      </c>
      <c r="F106" s="13" t="s">
        <v>44</v>
      </c>
      <c r="G106" s="30">
        <v>0.5</v>
      </c>
      <c r="H106" s="30">
        <v>0.5</v>
      </c>
      <c r="I106" s="30">
        <f t="shared" si="4"/>
        <v>0</v>
      </c>
      <c r="J106" s="29"/>
      <c r="K106" s="28"/>
    </row>
    <row r="107" spans="1:11" ht="12.5" x14ac:dyDescent="0.25">
      <c r="A107" s="33">
        <v>45205</v>
      </c>
      <c r="B107" s="28" t="s">
        <v>16</v>
      </c>
      <c r="C107" s="12" t="s">
        <v>178</v>
      </c>
      <c r="D107" s="28" t="s">
        <v>164</v>
      </c>
      <c r="E107" s="13" t="s">
        <v>64</v>
      </c>
      <c r="F107" s="13" t="s">
        <v>44</v>
      </c>
      <c r="G107" s="30">
        <v>1</v>
      </c>
      <c r="H107" s="30">
        <v>1</v>
      </c>
      <c r="I107" s="30">
        <f t="shared" si="4"/>
        <v>0</v>
      </c>
      <c r="J107" s="29"/>
      <c r="K107" s="28"/>
    </row>
    <row r="108" spans="1:11" ht="12.5" x14ac:dyDescent="0.25">
      <c r="A108" s="33">
        <v>45205</v>
      </c>
      <c r="B108" s="28" t="s">
        <v>16</v>
      </c>
      <c r="C108" s="12" t="s">
        <v>178</v>
      </c>
      <c r="D108" s="28" t="s">
        <v>179</v>
      </c>
      <c r="E108" s="13" t="s">
        <v>64</v>
      </c>
      <c r="F108" s="13" t="s">
        <v>44</v>
      </c>
      <c r="G108" s="30">
        <v>0.5</v>
      </c>
      <c r="H108" s="30">
        <v>0.5</v>
      </c>
      <c r="I108" s="30">
        <f t="shared" si="4"/>
        <v>0</v>
      </c>
      <c r="J108" s="29"/>
      <c r="K108" s="28"/>
    </row>
    <row r="109" spans="1:11" ht="12.5" x14ac:dyDescent="0.25">
      <c r="A109" s="33">
        <v>45205</v>
      </c>
      <c r="B109" s="28" t="s">
        <v>16</v>
      </c>
      <c r="C109" s="12" t="s">
        <v>178</v>
      </c>
      <c r="D109" s="28" t="s">
        <v>180</v>
      </c>
      <c r="E109" s="13" t="s">
        <v>64</v>
      </c>
      <c r="F109" s="13" t="s">
        <v>44</v>
      </c>
      <c r="G109" s="30">
        <v>4</v>
      </c>
      <c r="H109" s="30">
        <v>4</v>
      </c>
      <c r="I109" s="30">
        <f t="shared" si="4"/>
        <v>0</v>
      </c>
      <c r="J109" s="29"/>
      <c r="K109" s="28"/>
    </row>
    <row r="110" spans="1:11" ht="12.5" x14ac:dyDescent="0.25">
      <c r="A110" s="33">
        <v>45205</v>
      </c>
      <c r="B110" s="28" t="s">
        <v>16</v>
      </c>
      <c r="C110" s="12" t="s">
        <v>178</v>
      </c>
      <c r="D110" s="28" t="s">
        <v>168</v>
      </c>
      <c r="E110" s="13" t="s">
        <v>64</v>
      </c>
      <c r="F110" s="13" t="s">
        <v>44</v>
      </c>
      <c r="G110" s="30">
        <v>1</v>
      </c>
      <c r="H110" s="30">
        <v>1</v>
      </c>
      <c r="I110" s="30">
        <f t="shared" si="4"/>
        <v>0</v>
      </c>
      <c r="J110" s="29"/>
      <c r="K110" s="28"/>
    </row>
    <row r="111" spans="1:11" ht="12.5" x14ac:dyDescent="0.25">
      <c r="A111" s="19"/>
      <c r="B111" s="21"/>
      <c r="C111" s="21"/>
      <c r="D111" s="21"/>
      <c r="E111" s="21" t="s">
        <v>17</v>
      </c>
      <c r="F111" s="21"/>
      <c r="G111" s="24">
        <f>SUM(G88:G110)</f>
        <v>38</v>
      </c>
      <c r="H111" s="24">
        <f>SUM(H88:H110)</f>
        <v>38.400000000000006</v>
      </c>
      <c r="I111" s="24">
        <f t="shared" si="4"/>
        <v>0.40000000000000568</v>
      </c>
      <c r="J111" s="25"/>
      <c r="K111" s="51"/>
    </row>
    <row r="112" spans="1:11" ht="18.75" customHeight="1" x14ac:dyDescent="0.25">
      <c r="A112" s="63" t="s">
        <v>23</v>
      </c>
      <c r="B112" s="50"/>
      <c r="C112" s="50"/>
      <c r="D112" s="50"/>
      <c r="E112" s="50"/>
      <c r="F112" s="50"/>
      <c r="G112" s="50"/>
      <c r="H112" s="50"/>
      <c r="I112" s="50"/>
      <c r="J112" s="50"/>
      <c r="K112" s="51"/>
    </row>
    <row r="113" spans="1:11" ht="12.5" x14ac:dyDescent="0.25">
      <c r="A113" s="38" t="s">
        <v>12</v>
      </c>
      <c r="B113" s="64" t="s">
        <v>13</v>
      </c>
      <c r="C113" s="50"/>
      <c r="D113" s="50"/>
      <c r="E113" s="50"/>
      <c r="F113" s="50"/>
      <c r="G113" s="50"/>
      <c r="H113" s="50"/>
      <c r="I113" s="50"/>
      <c r="J113" s="50"/>
      <c r="K113" s="51"/>
    </row>
    <row r="114" spans="1:11" ht="27.75" customHeight="1" x14ac:dyDescent="0.25">
      <c r="A114" s="39" t="s">
        <v>14</v>
      </c>
      <c r="B114" s="64" t="s">
        <v>15</v>
      </c>
      <c r="C114" s="50"/>
      <c r="D114" s="50" t="s">
        <v>182</v>
      </c>
      <c r="E114" s="50"/>
      <c r="F114" s="50"/>
      <c r="G114" s="50"/>
      <c r="H114" s="50"/>
      <c r="I114" s="50"/>
      <c r="J114" s="50"/>
      <c r="K114" s="28"/>
    </row>
    <row r="115" spans="1:11" ht="12.5" x14ac:dyDescent="0.25">
      <c r="A115" s="33">
        <v>45208</v>
      </c>
      <c r="B115" s="28" t="s">
        <v>16</v>
      </c>
      <c r="C115" s="12" t="s">
        <v>181</v>
      </c>
      <c r="D115" s="28" t="s">
        <v>184</v>
      </c>
      <c r="E115" s="13" t="s">
        <v>64</v>
      </c>
      <c r="F115" s="13" t="s">
        <v>44</v>
      </c>
      <c r="G115" s="30">
        <v>1.5</v>
      </c>
      <c r="H115" s="30">
        <v>1.3</v>
      </c>
      <c r="I115" s="30">
        <f t="shared" ref="I115:I133" si="5">H115-G115</f>
        <v>-0.19999999999999996</v>
      </c>
      <c r="J115" s="29"/>
      <c r="K115" s="28"/>
    </row>
    <row r="116" spans="1:11" ht="12.5" x14ac:dyDescent="0.25">
      <c r="A116" s="33">
        <v>45208</v>
      </c>
      <c r="B116" s="28" t="s">
        <v>16</v>
      </c>
      <c r="C116" s="12" t="s">
        <v>181</v>
      </c>
      <c r="D116" s="28" t="s">
        <v>185</v>
      </c>
      <c r="E116" s="13" t="s">
        <v>64</v>
      </c>
      <c r="F116" s="13" t="s">
        <v>44</v>
      </c>
      <c r="G116" s="30">
        <v>4</v>
      </c>
      <c r="H116" s="30">
        <v>4</v>
      </c>
      <c r="I116" s="30">
        <v>0</v>
      </c>
      <c r="J116" s="68" t="s">
        <v>190</v>
      </c>
      <c r="K116" s="28"/>
    </row>
    <row r="117" spans="1:11" ht="12.5" x14ac:dyDescent="0.25">
      <c r="A117" s="33" t="s">
        <v>183</v>
      </c>
      <c r="B117" s="28" t="s">
        <v>16</v>
      </c>
      <c r="C117" s="12" t="s">
        <v>181</v>
      </c>
      <c r="D117" s="28" t="s">
        <v>160</v>
      </c>
      <c r="E117" s="13" t="s">
        <v>64</v>
      </c>
      <c r="F117" s="13" t="s">
        <v>44</v>
      </c>
      <c r="G117">
        <v>1.5</v>
      </c>
      <c r="H117" s="30">
        <v>1</v>
      </c>
      <c r="I117" s="30">
        <f>H117-G116</f>
        <v>-3</v>
      </c>
      <c r="J117" s="68" t="s">
        <v>238</v>
      </c>
      <c r="K117" s="28"/>
    </row>
    <row r="118" spans="1:11" ht="12.5" x14ac:dyDescent="0.25">
      <c r="A118" s="33">
        <v>45209</v>
      </c>
      <c r="B118" s="28" t="s">
        <v>16</v>
      </c>
      <c r="C118" s="12" t="s">
        <v>186</v>
      </c>
      <c r="D118" s="28" t="s">
        <v>163</v>
      </c>
      <c r="E118" s="13" t="s">
        <v>64</v>
      </c>
      <c r="F118" s="13" t="s">
        <v>44</v>
      </c>
      <c r="G118" s="30">
        <v>0.5</v>
      </c>
      <c r="H118" s="30">
        <v>0.5</v>
      </c>
      <c r="I118" s="30">
        <f t="shared" si="5"/>
        <v>0</v>
      </c>
      <c r="J118" s="29"/>
      <c r="K118" s="28"/>
    </row>
    <row r="119" spans="1:11" ht="12.5" x14ac:dyDescent="0.25">
      <c r="A119" s="33">
        <v>45209</v>
      </c>
      <c r="B119" s="28" t="s">
        <v>16</v>
      </c>
      <c r="C119" s="12" t="s">
        <v>186</v>
      </c>
      <c r="D119" s="28" t="s">
        <v>164</v>
      </c>
      <c r="E119" s="13" t="s">
        <v>64</v>
      </c>
      <c r="F119" s="13" t="s">
        <v>44</v>
      </c>
      <c r="G119" s="30">
        <v>0.5</v>
      </c>
      <c r="H119" s="30">
        <v>0.5</v>
      </c>
      <c r="I119" s="30">
        <f t="shared" si="5"/>
        <v>0</v>
      </c>
      <c r="J119" s="29"/>
      <c r="K119" s="28"/>
    </row>
    <row r="120" spans="1:11" ht="12.5" x14ac:dyDescent="0.25">
      <c r="A120" s="33">
        <v>45209</v>
      </c>
      <c r="B120" s="28" t="s">
        <v>16</v>
      </c>
      <c r="C120" s="12" t="s">
        <v>186</v>
      </c>
      <c r="D120" s="28" t="s">
        <v>187</v>
      </c>
      <c r="E120" s="13" t="s">
        <v>64</v>
      </c>
      <c r="F120" s="13" t="s">
        <v>44</v>
      </c>
      <c r="G120" s="30">
        <v>2</v>
      </c>
      <c r="H120" s="30">
        <v>2</v>
      </c>
      <c r="I120" s="30">
        <f t="shared" si="5"/>
        <v>0</v>
      </c>
      <c r="J120" s="29"/>
      <c r="K120" s="28"/>
    </row>
    <row r="121" spans="1:11" ht="12.5" x14ac:dyDescent="0.25">
      <c r="A121" s="33">
        <v>45209</v>
      </c>
      <c r="B121" s="28" t="s">
        <v>16</v>
      </c>
      <c r="C121" s="12" t="s">
        <v>186</v>
      </c>
      <c r="D121" s="28" t="s">
        <v>188</v>
      </c>
      <c r="E121" s="13" t="s">
        <v>57</v>
      </c>
      <c r="F121" s="13" t="s">
        <v>44</v>
      </c>
      <c r="G121" s="30">
        <v>2</v>
      </c>
      <c r="H121" s="30">
        <v>2</v>
      </c>
      <c r="I121" s="30">
        <f t="shared" si="5"/>
        <v>0</v>
      </c>
      <c r="J121" s="29"/>
      <c r="K121" s="28"/>
    </row>
    <row r="122" spans="1:11" ht="12.5" x14ac:dyDescent="0.25">
      <c r="A122" s="33">
        <v>45209</v>
      </c>
      <c r="B122" s="28" t="s">
        <v>16</v>
      </c>
      <c r="C122" s="12" t="s">
        <v>186</v>
      </c>
      <c r="D122" s="28" t="s">
        <v>189</v>
      </c>
      <c r="E122" s="13" t="s">
        <v>64</v>
      </c>
      <c r="F122" s="13" t="s">
        <v>44</v>
      </c>
      <c r="G122" s="30">
        <v>2</v>
      </c>
      <c r="H122" s="30">
        <v>2</v>
      </c>
      <c r="I122" s="30">
        <f t="shared" si="5"/>
        <v>0</v>
      </c>
      <c r="J122" s="29"/>
      <c r="K122" s="28"/>
    </row>
    <row r="123" spans="1:11" ht="12.5" x14ac:dyDescent="0.25">
      <c r="A123" s="33">
        <v>45210</v>
      </c>
      <c r="B123" s="28" t="s">
        <v>16</v>
      </c>
      <c r="C123" s="12" t="s">
        <v>192</v>
      </c>
      <c r="D123" s="28" t="s">
        <v>191</v>
      </c>
      <c r="E123" s="13" t="s">
        <v>64</v>
      </c>
      <c r="F123" s="13" t="s">
        <v>53</v>
      </c>
      <c r="G123" s="30">
        <v>3</v>
      </c>
      <c r="H123" s="30">
        <v>3</v>
      </c>
      <c r="I123" s="30">
        <f t="shared" si="5"/>
        <v>0</v>
      </c>
      <c r="J123" s="68" t="s">
        <v>239</v>
      </c>
      <c r="K123" s="28"/>
    </row>
    <row r="124" spans="1:11" ht="12.5" x14ac:dyDescent="0.25">
      <c r="A124" s="33">
        <v>45210</v>
      </c>
      <c r="B124" s="28" t="s">
        <v>16</v>
      </c>
      <c r="C124" s="12" t="s">
        <v>192</v>
      </c>
      <c r="D124" s="28" t="s">
        <v>193</v>
      </c>
      <c r="E124" s="13" t="s">
        <v>64</v>
      </c>
      <c r="F124" s="13" t="s">
        <v>53</v>
      </c>
      <c r="G124" s="30">
        <v>1.5</v>
      </c>
      <c r="H124" s="30">
        <v>1.5</v>
      </c>
      <c r="I124" s="30">
        <f t="shared" si="5"/>
        <v>0</v>
      </c>
      <c r="J124" s="68" t="s">
        <v>256</v>
      </c>
      <c r="K124" s="28"/>
    </row>
    <row r="125" spans="1:11" ht="12.5" x14ac:dyDescent="0.25">
      <c r="A125" s="33">
        <v>45210</v>
      </c>
      <c r="B125" s="28" t="s">
        <v>16</v>
      </c>
      <c r="C125" s="12" t="s">
        <v>192</v>
      </c>
      <c r="D125" s="28" t="s">
        <v>194</v>
      </c>
      <c r="E125" s="13" t="s">
        <v>64</v>
      </c>
      <c r="F125" s="13" t="s">
        <v>53</v>
      </c>
      <c r="G125" s="30">
        <v>1.5</v>
      </c>
      <c r="H125" s="30">
        <v>1</v>
      </c>
      <c r="I125" s="30">
        <f t="shared" si="5"/>
        <v>-0.5</v>
      </c>
      <c r="J125" s="29"/>
      <c r="K125" s="28"/>
    </row>
    <row r="126" spans="1:11" ht="12.5" x14ac:dyDescent="0.25">
      <c r="A126" s="33">
        <v>45211</v>
      </c>
      <c r="B126" s="28" t="s">
        <v>48</v>
      </c>
      <c r="C126" s="12" t="s">
        <v>200</v>
      </c>
      <c r="D126" s="28" t="s">
        <v>201</v>
      </c>
      <c r="E126" s="13" t="s">
        <v>49</v>
      </c>
      <c r="F126" s="13" t="s">
        <v>58</v>
      </c>
      <c r="G126" s="30">
        <v>2</v>
      </c>
      <c r="H126" s="30">
        <v>0</v>
      </c>
      <c r="I126" s="30">
        <f t="shared" si="5"/>
        <v>-2</v>
      </c>
      <c r="J126" s="29"/>
      <c r="K126" s="28"/>
    </row>
    <row r="127" spans="1:11" ht="12.5" x14ac:dyDescent="0.25">
      <c r="A127" s="33">
        <v>45211</v>
      </c>
      <c r="B127" s="28" t="s">
        <v>48</v>
      </c>
      <c r="C127" s="12" t="s">
        <v>200</v>
      </c>
      <c r="D127" s="28" t="s">
        <v>202</v>
      </c>
      <c r="E127" s="13" t="s">
        <v>49</v>
      </c>
      <c r="F127" s="13" t="s">
        <v>58</v>
      </c>
      <c r="G127" s="30">
        <v>4</v>
      </c>
      <c r="H127" s="30">
        <v>0</v>
      </c>
      <c r="I127" s="30">
        <f t="shared" si="5"/>
        <v>-4</v>
      </c>
      <c r="J127" s="29"/>
      <c r="K127" s="28"/>
    </row>
    <row r="128" spans="1:11" ht="13" x14ac:dyDescent="0.3">
      <c r="A128" s="33">
        <v>45212</v>
      </c>
      <c r="B128" s="28" t="s">
        <v>16</v>
      </c>
      <c r="C128" s="72" t="s">
        <v>195</v>
      </c>
      <c r="D128" s="67" t="s">
        <v>164</v>
      </c>
      <c r="E128" s="13" t="s">
        <v>64</v>
      </c>
      <c r="F128" s="13" t="s">
        <v>44</v>
      </c>
      <c r="G128" s="30">
        <v>0.5</v>
      </c>
      <c r="H128" s="30">
        <v>0.5</v>
      </c>
      <c r="I128" s="30"/>
      <c r="J128" s="29"/>
      <c r="K128" s="28"/>
    </row>
    <row r="129" spans="1:11" ht="13" x14ac:dyDescent="0.3">
      <c r="A129" s="33">
        <v>45212</v>
      </c>
      <c r="B129" s="28" t="s">
        <v>16</v>
      </c>
      <c r="C129" s="72" t="s">
        <v>195</v>
      </c>
      <c r="D129" s="28" t="s">
        <v>196</v>
      </c>
      <c r="E129" s="13" t="s">
        <v>64</v>
      </c>
      <c r="F129" s="13" t="s">
        <v>55</v>
      </c>
      <c r="G129" s="30">
        <v>3</v>
      </c>
      <c r="H129" s="30">
        <v>3</v>
      </c>
      <c r="I129" s="30"/>
      <c r="J129" s="29"/>
      <c r="K129" s="28"/>
    </row>
    <row r="130" spans="1:11" ht="13" x14ac:dyDescent="0.3">
      <c r="A130" s="33">
        <v>45212</v>
      </c>
      <c r="B130" s="28" t="s">
        <v>16</v>
      </c>
      <c r="C130" s="72" t="s">
        <v>195</v>
      </c>
      <c r="D130" s="28" t="s">
        <v>197</v>
      </c>
      <c r="E130" s="13" t="s">
        <v>63</v>
      </c>
      <c r="F130" s="13" t="s">
        <v>44</v>
      </c>
      <c r="G130" s="30">
        <v>1</v>
      </c>
      <c r="H130" s="30">
        <v>1</v>
      </c>
      <c r="I130" s="30"/>
      <c r="J130" s="29"/>
      <c r="K130" s="28"/>
    </row>
    <row r="131" spans="1:11" ht="13" x14ac:dyDescent="0.3">
      <c r="A131" s="33">
        <v>45212</v>
      </c>
      <c r="B131" s="28" t="s">
        <v>16</v>
      </c>
      <c r="C131" s="72" t="s">
        <v>195</v>
      </c>
      <c r="D131" s="28" t="s">
        <v>198</v>
      </c>
      <c r="E131" s="13" t="s">
        <v>64</v>
      </c>
      <c r="F131" s="13" t="s">
        <v>44</v>
      </c>
      <c r="G131" s="30">
        <v>2</v>
      </c>
      <c r="H131" s="30">
        <v>2</v>
      </c>
      <c r="I131" s="30"/>
      <c r="J131" s="29"/>
      <c r="K131" s="28"/>
    </row>
    <row r="132" spans="1:11" ht="13" x14ac:dyDescent="0.3">
      <c r="A132" s="33">
        <v>45212</v>
      </c>
      <c r="B132" s="28" t="s">
        <v>16</v>
      </c>
      <c r="C132" s="72" t="s">
        <v>195</v>
      </c>
      <c r="D132" s="67" t="s">
        <v>199</v>
      </c>
      <c r="E132" s="13" t="s">
        <v>64</v>
      </c>
      <c r="F132" s="13" t="s">
        <v>44</v>
      </c>
      <c r="G132" s="30">
        <v>1</v>
      </c>
      <c r="H132" s="30">
        <v>1</v>
      </c>
      <c r="I132" s="30"/>
      <c r="J132" s="29"/>
      <c r="K132" s="28"/>
    </row>
    <row r="133" spans="1:11" ht="12.5" x14ac:dyDescent="0.25">
      <c r="A133" s="19"/>
      <c r="B133" s="21"/>
      <c r="C133" s="21"/>
      <c r="D133" s="21"/>
      <c r="E133" s="21" t="s">
        <v>17</v>
      </c>
      <c r="F133" s="21"/>
      <c r="G133" s="24">
        <f>SUM(G115:G132)</f>
        <v>33.5</v>
      </c>
      <c r="H133" s="24">
        <f>SUM(H115:H132)</f>
        <v>26.3</v>
      </c>
      <c r="I133" s="24">
        <f t="shared" si="5"/>
        <v>-7.1999999999999993</v>
      </c>
      <c r="J133" s="25"/>
      <c r="K133" s="51"/>
    </row>
    <row r="134" spans="1:11" ht="18.75" customHeight="1" x14ac:dyDescent="0.25">
      <c r="A134" s="33"/>
      <c r="B134" s="50"/>
      <c r="C134" s="50"/>
      <c r="D134" s="50"/>
      <c r="E134" s="50"/>
      <c r="F134" s="50"/>
      <c r="G134" s="50"/>
      <c r="H134" s="50"/>
      <c r="I134" s="50"/>
      <c r="J134" s="50"/>
      <c r="K134" s="51"/>
    </row>
    <row r="135" spans="1:11" ht="12.5" x14ac:dyDescent="0.25">
      <c r="A135" s="33"/>
      <c r="B135" s="65" t="s">
        <v>13</v>
      </c>
      <c r="C135" s="50"/>
      <c r="D135" s="50"/>
      <c r="E135" s="50"/>
      <c r="F135" s="50"/>
      <c r="G135" s="50"/>
      <c r="H135" s="50"/>
      <c r="I135" s="50"/>
      <c r="J135" s="50"/>
      <c r="K135" s="51"/>
    </row>
    <row r="136" spans="1:11" ht="28.5" customHeight="1" x14ac:dyDescent="0.25">
      <c r="A136" s="40" t="s">
        <v>14</v>
      </c>
      <c r="B136" s="65" t="s">
        <v>15</v>
      </c>
      <c r="C136" s="50"/>
      <c r="D136" s="50"/>
      <c r="E136" s="50"/>
      <c r="F136" s="50"/>
      <c r="G136" s="50"/>
      <c r="H136" s="50"/>
      <c r="I136" s="50"/>
      <c r="J136" s="50"/>
      <c r="K136" s="28"/>
    </row>
    <row r="137" spans="1:11" ht="12.5" x14ac:dyDescent="0.25">
      <c r="A137" s="33">
        <v>45222</v>
      </c>
      <c r="B137" s="28" t="s">
        <v>16</v>
      </c>
      <c r="C137" s="12" t="s">
        <v>203</v>
      </c>
      <c r="D137" s="28" t="s">
        <v>204</v>
      </c>
      <c r="E137" s="13" t="s">
        <v>64</v>
      </c>
      <c r="F137" s="13" t="s">
        <v>44</v>
      </c>
      <c r="G137" s="30">
        <v>2</v>
      </c>
      <c r="H137" s="30">
        <v>2</v>
      </c>
      <c r="I137" s="30">
        <f t="shared" ref="I137:I153" si="6">H137-G137</f>
        <v>0</v>
      </c>
      <c r="J137" s="29"/>
      <c r="K137" s="28"/>
    </row>
    <row r="138" spans="1:11" ht="12.5" x14ac:dyDescent="0.25">
      <c r="A138" s="33">
        <v>45222</v>
      </c>
      <c r="B138" s="28" t="s">
        <v>16</v>
      </c>
      <c r="C138" s="12" t="s">
        <v>203</v>
      </c>
      <c r="D138" s="28" t="s">
        <v>205</v>
      </c>
      <c r="E138" s="13" t="s">
        <v>64</v>
      </c>
      <c r="F138" s="13" t="s">
        <v>44</v>
      </c>
      <c r="G138" s="30">
        <v>0.5</v>
      </c>
      <c r="H138" s="30">
        <v>0.5</v>
      </c>
      <c r="I138" s="30">
        <f t="shared" si="6"/>
        <v>0</v>
      </c>
      <c r="J138" s="29"/>
      <c r="K138" s="28"/>
    </row>
    <row r="139" spans="1:11" ht="12.5" x14ac:dyDescent="0.25">
      <c r="A139" s="33">
        <v>45222</v>
      </c>
      <c r="B139" s="28" t="s">
        <v>16</v>
      </c>
      <c r="C139" s="12" t="s">
        <v>203</v>
      </c>
      <c r="D139" s="28" t="s">
        <v>206</v>
      </c>
      <c r="E139" s="13" t="s">
        <v>64</v>
      </c>
      <c r="F139" s="13" t="s">
        <v>44</v>
      </c>
      <c r="G139" s="30">
        <v>0.5</v>
      </c>
      <c r="H139" s="30">
        <v>0.5</v>
      </c>
      <c r="I139" s="30">
        <f t="shared" si="6"/>
        <v>0</v>
      </c>
      <c r="J139" s="29"/>
      <c r="K139" s="28"/>
    </row>
    <row r="140" spans="1:11" ht="12.5" x14ac:dyDescent="0.25">
      <c r="A140" s="33">
        <v>45222</v>
      </c>
      <c r="B140" s="28" t="s">
        <v>16</v>
      </c>
      <c r="C140" s="12" t="s">
        <v>203</v>
      </c>
      <c r="D140" s="28" t="s">
        <v>207</v>
      </c>
      <c r="E140" s="13" t="s">
        <v>64</v>
      </c>
      <c r="F140" s="13" t="s">
        <v>44</v>
      </c>
      <c r="G140" s="30">
        <v>2</v>
      </c>
      <c r="H140" s="30">
        <v>2</v>
      </c>
      <c r="I140" s="30">
        <f t="shared" si="6"/>
        <v>0</v>
      </c>
      <c r="J140" s="68" t="s">
        <v>240</v>
      </c>
      <c r="K140" s="28"/>
    </row>
    <row r="141" spans="1:11" ht="12.5" x14ac:dyDescent="0.25">
      <c r="A141" s="33">
        <v>45222</v>
      </c>
      <c r="B141" s="28" t="s">
        <v>16</v>
      </c>
      <c r="C141" s="12" t="s">
        <v>203</v>
      </c>
      <c r="D141" s="28" t="s">
        <v>208</v>
      </c>
      <c r="E141" s="13" t="s">
        <v>64</v>
      </c>
      <c r="F141" s="13" t="s">
        <v>44</v>
      </c>
      <c r="G141" s="30">
        <v>1</v>
      </c>
      <c r="H141" s="30">
        <v>1</v>
      </c>
      <c r="I141" s="30">
        <f t="shared" si="6"/>
        <v>0</v>
      </c>
      <c r="J141" s="29"/>
      <c r="K141" s="28"/>
    </row>
    <row r="142" spans="1:11" ht="12.5" x14ac:dyDescent="0.25">
      <c r="A142" s="33">
        <v>45222</v>
      </c>
      <c r="B142" s="28" t="s">
        <v>16</v>
      </c>
      <c r="C142" s="12" t="s">
        <v>203</v>
      </c>
      <c r="D142" s="28" t="s">
        <v>209</v>
      </c>
      <c r="E142" s="13" t="s">
        <v>64</v>
      </c>
      <c r="F142" s="13" t="s">
        <v>44</v>
      </c>
      <c r="G142" s="30">
        <v>1</v>
      </c>
      <c r="H142" s="30">
        <v>1</v>
      </c>
      <c r="I142" s="30">
        <f t="shared" si="6"/>
        <v>0</v>
      </c>
      <c r="J142" s="29"/>
      <c r="K142" s="28"/>
    </row>
    <row r="143" spans="1:11" ht="12.5" x14ac:dyDescent="0.25">
      <c r="A143" s="33">
        <v>45223</v>
      </c>
      <c r="B143" s="28" t="s">
        <v>16</v>
      </c>
      <c r="C143" s="12" t="s">
        <v>186</v>
      </c>
      <c r="D143" s="28" t="s">
        <v>163</v>
      </c>
      <c r="E143" s="13" t="s">
        <v>64</v>
      </c>
      <c r="F143" s="13" t="s">
        <v>44</v>
      </c>
      <c r="G143" s="30">
        <v>0.5</v>
      </c>
      <c r="H143" s="30">
        <v>0.5</v>
      </c>
      <c r="I143" s="30">
        <f t="shared" si="6"/>
        <v>0</v>
      </c>
      <c r="J143" s="29"/>
      <c r="K143" s="28"/>
    </row>
    <row r="144" spans="1:11" ht="12.5" x14ac:dyDescent="0.25">
      <c r="A144" s="33">
        <v>45223</v>
      </c>
      <c r="B144" s="28" t="s">
        <v>16</v>
      </c>
      <c r="C144" s="12" t="s">
        <v>186</v>
      </c>
      <c r="D144" s="28" t="s">
        <v>164</v>
      </c>
      <c r="E144" s="13" t="s">
        <v>64</v>
      </c>
      <c r="F144" s="13" t="s">
        <v>44</v>
      </c>
      <c r="G144" s="30">
        <v>0.5</v>
      </c>
      <c r="H144" s="30">
        <v>0.5</v>
      </c>
      <c r="I144" s="30">
        <f t="shared" si="6"/>
        <v>0</v>
      </c>
      <c r="J144" s="29"/>
      <c r="K144" s="28"/>
    </row>
    <row r="145" spans="1:11" ht="12.5" x14ac:dyDescent="0.25">
      <c r="A145" s="33">
        <v>45223</v>
      </c>
      <c r="B145" s="28" t="s">
        <v>16</v>
      </c>
      <c r="C145" t="s">
        <v>186</v>
      </c>
      <c r="D145" s="28" t="s">
        <v>210</v>
      </c>
      <c r="E145" s="13" t="s">
        <v>54</v>
      </c>
      <c r="F145" s="13" t="s">
        <v>58</v>
      </c>
      <c r="G145" s="30">
        <v>2</v>
      </c>
      <c r="H145" s="30">
        <v>2</v>
      </c>
      <c r="I145" s="30">
        <f t="shared" si="6"/>
        <v>0</v>
      </c>
      <c r="J145" s="29"/>
      <c r="K145" s="28"/>
    </row>
    <row r="146" spans="1:11" ht="12.5" x14ac:dyDescent="0.25">
      <c r="A146" s="33">
        <v>45223</v>
      </c>
      <c r="B146" s="28" t="s">
        <v>16</v>
      </c>
      <c r="C146" s="12" t="s">
        <v>186</v>
      </c>
      <c r="D146" s="28" t="s">
        <v>211</v>
      </c>
      <c r="E146" s="13" t="s">
        <v>64</v>
      </c>
      <c r="F146" s="13" t="s">
        <v>44</v>
      </c>
      <c r="G146" s="30">
        <v>3.5</v>
      </c>
      <c r="H146" s="30">
        <v>3.5</v>
      </c>
      <c r="I146" s="30">
        <f t="shared" si="6"/>
        <v>0</v>
      </c>
      <c r="J146" s="29"/>
      <c r="K146" s="28"/>
    </row>
    <row r="147" spans="1:11" ht="12.5" x14ac:dyDescent="0.25">
      <c r="A147" s="33">
        <v>45223</v>
      </c>
      <c r="B147" s="28" t="s">
        <v>16</v>
      </c>
      <c r="C147" s="12" t="s">
        <v>186</v>
      </c>
      <c r="D147" s="28" t="s">
        <v>212</v>
      </c>
      <c r="E147" s="13" t="s">
        <v>64</v>
      </c>
      <c r="F147" s="13" t="s">
        <v>53</v>
      </c>
      <c r="G147" s="30">
        <v>0.5</v>
      </c>
      <c r="H147" s="30">
        <v>0.5</v>
      </c>
      <c r="I147" s="30">
        <f t="shared" si="6"/>
        <v>0</v>
      </c>
      <c r="J147" s="29"/>
      <c r="K147" s="28"/>
    </row>
    <row r="148" spans="1:11" ht="12.5" x14ac:dyDescent="0.25">
      <c r="A148" s="33">
        <v>45224</v>
      </c>
      <c r="B148" s="28" t="s">
        <v>16</v>
      </c>
      <c r="C148" s="12" t="s">
        <v>217</v>
      </c>
      <c r="D148" s="28" t="s">
        <v>218</v>
      </c>
      <c r="E148" s="13" t="s">
        <v>64</v>
      </c>
      <c r="F148" s="13" t="s">
        <v>53</v>
      </c>
      <c r="G148" s="30">
        <v>3</v>
      </c>
      <c r="H148" s="30">
        <v>3</v>
      </c>
      <c r="I148" s="30">
        <f t="shared" si="6"/>
        <v>0</v>
      </c>
      <c r="J148" s="68" t="s">
        <v>220</v>
      </c>
      <c r="K148" s="28"/>
    </row>
    <row r="149" spans="1:11" ht="12.5" x14ac:dyDescent="0.25">
      <c r="A149" s="33">
        <v>45224</v>
      </c>
      <c r="B149" s="28" t="s">
        <v>16</v>
      </c>
      <c r="C149" s="12" t="s">
        <v>217</v>
      </c>
      <c r="D149" s="28" t="s">
        <v>219</v>
      </c>
      <c r="E149" s="13" t="s">
        <v>64</v>
      </c>
      <c r="F149" s="13" t="s">
        <v>44</v>
      </c>
      <c r="G149" s="30">
        <v>4</v>
      </c>
      <c r="H149" s="30">
        <v>4</v>
      </c>
      <c r="I149" s="30">
        <f t="shared" si="6"/>
        <v>0</v>
      </c>
      <c r="J149" s="29"/>
      <c r="K149" s="28"/>
    </row>
    <row r="150" spans="1:11" ht="12.5" x14ac:dyDescent="0.25">
      <c r="A150" s="33">
        <v>45225</v>
      </c>
      <c r="B150" s="28" t="s">
        <v>56</v>
      </c>
      <c r="C150" s="12" t="s">
        <v>213</v>
      </c>
      <c r="D150" s="28" t="s">
        <v>214</v>
      </c>
      <c r="E150" s="13" t="s">
        <v>49</v>
      </c>
      <c r="F150" s="13" t="s">
        <v>58</v>
      </c>
      <c r="G150" s="30">
        <v>4</v>
      </c>
      <c r="H150" s="30"/>
      <c r="I150" s="30"/>
      <c r="J150" s="29"/>
      <c r="K150" s="28"/>
    </row>
    <row r="151" spans="1:11" ht="12.5" x14ac:dyDescent="0.25">
      <c r="A151" s="33">
        <v>45226</v>
      </c>
      <c r="B151" s="28" t="s">
        <v>16</v>
      </c>
      <c r="C151" s="12" t="s">
        <v>215</v>
      </c>
      <c r="D151" s="28" t="s">
        <v>163</v>
      </c>
      <c r="E151" s="13" t="s">
        <v>64</v>
      </c>
      <c r="F151" s="13" t="s">
        <v>44</v>
      </c>
      <c r="G151" s="30">
        <v>0.5</v>
      </c>
      <c r="H151" s="30">
        <v>0.5</v>
      </c>
      <c r="I151" s="30"/>
      <c r="J151" s="29"/>
      <c r="K151" s="28"/>
    </row>
    <row r="152" spans="1:11" ht="12.5" x14ac:dyDescent="0.25">
      <c r="A152" s="33">
        <v>45226</v>
      </c>
      <c r="B152" s="28" t="s">
        <v>16</v>
      </c>
      <c r="C152" s="12" t="s">
        <v>215</v>
      </c>
      <c r="D152" s="28" t="s">
        <v>216</v>
      </c>
      <c r="E152" s="13" t="s">
        <v>64</v>
      </c>
      <c r="F152" s="13" t="s">
        <v>53</v>
      </c>
      <c r="G152" s="30">
        <v>4</v>
      </c>
      <c r="H152" s="30">
        <v>4</v>
      </c>
      <c r="I152" s="30"/>
      <c r="J152" s="29"/>
      <c r="K152" s="28"/>
    </row>
    <row r="153" spans="1:11" ht="12.5" x14ac:dyDescent="0.25">
      <c r="A153" s="19"/>
      <c r="B153" s="21"/>
      <c r="C153" s="21"/>
      <c r="D153" s="21"/>
      <c r="E153" s="21" t="s">
        <v>17</v>
      </c>
      <c r="F153" s="21"/>
      <c r="G153" s="24">
        <f>SUM(G137:G152)</f>
        <v>29.5</v>
      </c>
      <c r="H153" s="24">
        <f>SUM(H137:H152)</f>
        <v>25.5</v>
      </c>
      <c r="I153" s="24">
        <f t="shared" si="6"/>
        <v>-4</v>
      </c>
      <c r="J153" s="25"/>
      <c r="K153" s="51"/>
    </row>
    <row r="154" spans="1:11" ht="13" x14ac:dyDescent="0.3">
      <c r="A154" s="59" t="s">
        <v>24</v>
      </c>
      <c r="B154" s="50"/>
      <c r="C154" s="50"/>
      <c r="D154" s="50"/>
      <c r="E154" s="50"/>
      <c r="F154" s="50"/>
      <c r="G154" s="50"/>
      <c r="H154" s="50"/>
      <c r="I154" s="50"/>
      <c r="J154" s="50"/>
      <c r="K154" s="61"/>
    </row>
    <row r="155" spans="1:11" ht="13" x14ac:dyDescent="0.3">
      <c r="A155" s="41" t="s">
        <v>12</v>
      </c>
      <c r="B155" s="60" t="s">
        <v>13</v>
      </c>
      <c r="C155" s="49"/>
      <c r="D155" s="49"/>
      <c r="E155" s="49"/>
      <c r="F155" s="49"/>
      <c r="G155" s="49"/>
      <c r="H155" s="49"/>
      <c r="I155" s="49"/>
      <c r="J155" s="49"/>
      <c r="K155" s="61"/>
    </row>
    <row r="156" spans="1:11" ht="27.75" customHeight="1" x14ac:dyDescent="0.25">
      <c r="A156" s="42" t="s">
        <v>14</v>
      </c>
      <c r="B156" s="62" t="s">
        <v>15</v>
      </c>
      <c r="C156" s="49"/>
      <c r="D156" s="49"/>
      <c r="E156" s="49"/>
      <c r="F156" s="49"/>
      <c r="G156" s="49"/>
      <c r="H156" s="49"/>
      <c r="I156" s="49"/>
      <c r="J156" s="49"/>
      <c r="K156" s="28"/>
    </row>
    <row r="157" spans="1:11" ht="12.5" x14ac:dyDescent="0.25">
      <c r="A157" s="33">
        <v>45229</v>
      </c>
      <c r="B157" s="28" t="s">
        <v>16</v>
      </c>
      <c r="C157" s="12" t="s">
        <v>221</v>
      </c>
      <c r="D157" s="28" t="s">
        <v>222</v>
      </c>
      <c r="E157" s="13" t="s">
        <v>64</v>
      </c>
      <c r="F157" s="13" t="s">
        <v>53</v>
      </c>
      <c r="G157" s="30">
        <v>2</v>
      </c>
      <c r="H157" s="30">
        <v>2</v>
      </c>
      <c r="I157" s="30">
        <f t="shared" ref="I157:I165" si="7">H157-G157</f>
        <v>0</v>
      </c>
      <c r="J157" s="68" t="s">
        <v>251</v>
      </c>
      <c r="K157" s="28"/>
    </row>
    <row r="158" spans="1:11" ht="12.5" x14ac:dyDescent="0.25">
      <c r="A158" s="33">
        <v>45229</v>
      </c>
      <c r="B158" s="28" t="s">
        <v>16</v>
      </c>
      <c r="C158" s="12" t="s">
        <v>221</v>
      </c>
      <c r="D158" s="28" t="s">
        <v>223</v>
      </c>
      <c r="E158" s="13" t="s">
        <v>64</v>
      </c>
      <c r="F158" s="13" t="s">
        <v>53</v>
      </c>
      <c r="G158" s="30">
        <v>3</v>
      </c>
      <c r="H158" s="30">
        <v>3</v>
      </c>
      <c r="I158" s="30">
        <f t="shared" si="7"/>
        <v>0</v>
      </c>
      <c r="J158" s="68" t="s">
        <v>254</v>
      </c>
      <c r="K158" s="28"/>
    </row>
    <row r="159" spans="1:11" ht="12.5" x14ac:dyDescent="0.25">
      <c r="A159" s="33">
        <v>45229</v>
      </c>
      <c r="B159" s="28" t="s">
        <v>16</v>
      </c>
      <c r="C159" s="12" t="s">
        <v>221</v>
      </c>
      <c r="D159" s="28" t="s">
        <v>255</v>
      </c>
      <c r="E159" s="13" t="s">
        <v>64</v>
      </c>
      <c r="F159" s="13" t="s">
        <v>53</v>
      </c>
      <c r="G159" s="30">
        <v>1</v>
      </c>
      <c r="H159" s="30">
        <v>1</v>
      </c>
      <c r="I159" s="30">
        <f t="shared" si="7"/>
        <v>0</v>
      </c>
      <c r="J159" s="29"/>
      <c r="K159" s="28"/>
    </row>
    <row r="160" spans="1:11" ht="12.5" x14ac:dyDescent="0.25">
      <c r="A160" s="33">
        <v>45229</v>
      </c>
      <c r="B160" s="28" t="s">
        <v>16</v>
      </c>
      <c r="C160" s="12" t="s">
        <v>221</v>
      </c>
      <c r="D160" s="28" t="s">
        <v>224</v>
      </c>
      <c r="E160" s="13" t="s">
        <v>64</v>
      </c>
      <c r="F160" s="13" t="s">
        <v>53</v>
      </c>
      <c r="G160" s="30">
        <v>1</v>
      </c>
      <c r="H160" s="30">
        <v>1</v>
      </c>
      <c r="I160" s="30">
        <f t="shared" si="7"/>
        <v>0</v>
      </c>
      <c r="J160" s="29"/>
      <c r="K160" s="28"/>
    </row>
    <row r="161" spans="1:11" ht="12.5" x14ac:dyDescent="0.25">
      <c r="A161" s="33">
        <v>45230</v>
      </c>
      <c r="B161" s="28" t="s">
        <v>16</v>
      </c>
      <c r="C161" s="12" t="s">
        <v>241</v>
      </c>
      <c r="D161" s="28" t="s">
        <v>242</v>
      </c>
      <c r="E161" s="13" t="s">
        <v>46</v>
      </c>
      <c r="F161" s="13" t="s">
        <v>53</v>
      </c>
      <c r="G161" s="30">
        <v>4</v>
      </c>
      <c r="H161" s="30">
        <v>4</v>
      </c>
      <c r="I161" s="30">
        <f t="shared" si="7"/>
        <v>0</v>
      </c>
      <c r="J161" s="68" t="s">
        <v>243</v>
      </c>
      <c r="K161" s="28"/>
    </row>
    <row r="162" spans="1:11" ht="12.5" x14ac:dyDescent="0.25">
      <c r="A162" s="33">
        <v>45230</v>
      </c>
      <c r="B162" s="28" t="s">
        <v>16</v>
      </c>
      <c r="C162" s="12" t="s">
        <v>241</v>
      </c>
      <c r="D162" s="28" t="s">
        <v>244</v>
      </c>
      <c r="E162" s="13" t="s">
        <v>64</v>
      </c>
      <c r="F162" s="13" t="s">
        <v>53</v>
      </c>
      <c r="G162" s="30">
        <v>3</v>
      </c>
      <c r="H162" s="30">
        <v>3</v>
      </c>
      <c r="I162" s="30">
        <f t="shared" si="7"/>
        <v>0</v>
      </c>
      <c r="J162" s="29"/>
      <c r="K162" s="28"/>
    </row>
    <row r="163" spans="1:11" ht="12.5" x14ac:dyDescent="0.25">
      <c r="A163" s="33">
        <v>45231</v>
      </c>
      <c r="B163" s="28" t="s">
        <v>16</v>
      </c>
      <c r="C163" s="12" t="s">
        <v>245</v>
      </c>
      <c r="D163" s="28" t="s">
        <v>246</v>
      </c>
      <c r="E163" s="13" t="s">
        <v>61</v>
      </c>
      <c r="F163" s="13" t="s">
        <v>247</v>
      </c>
      <c r="G163" s="30">
        <v>4</v>
      </c>
      <c r="H163" s="30">
        <v>4</v>
      </c>
      <c r="I163" s="30">
        <f t="shared" si="7"/>
        <v>0</v>
      </c>
      <c r="J163" s="29"/>
      <c r="K163" s="28"/>
    </row>
    <row r="164" spans="1:11" ht="12.5" x14ac:dyDescent="0.25">
      <c r="A164" s="33">
        <v>45232</v>
      </c>
      <c r="B164" s="28" t="s">
        <v>16</v>
      </c>
      <c r="C164" s="12" t="s">
        <v>248</v>
      </c>
      <c r="D164" s="28" t="s">
        <v>249</v>
      </c>
      <c r="E164" s="13" t="s">
        <v>46</v>
      </c>
      <c r="F164" s="13" t="s">
        <v>44</v>
      </c>
      <c r="G164" s="30">
        <v>4</v>
      </c>
      <c r="H164" s="30">
        <v>4</v>
      </c>
      <c r="I164" s="30">
        <f t="shared" si="7"/>
        <v>0</v>
      </c>
      <c r="J164" s="68" t="s">
        <v>250</v>
      </c>
      <c r="K164" s="28"/>
    </row>
    <row r="165" spans="1:11" ht="12.5" x14ac:dyDescent="0.25">
      <c r="A165" s="19"/>
      <c r="B165" s="21"/>
      <c r="C165" s="21"/>
      <c r="D165" s="21"/>
      <c r="E165" s="21" t="s">
        <v>17</v>
      </c>
      <c r="F165" s="21"/>
      <c r="G165" s="24">
        <f>SUM(G157:G164)</f>
        <v>22</v>
      </c>
      <c r="H165" s="24">
        <f>SUM(H157:H164)</f>
        <v>22</v>
      </c>
      <c r="I165" s="24">
        <f t="shared" si="7"/>
        <v>0</v>
      </c>
      <c r="J165" s="25"/>
    </row>
    <row r="166" spans="1:11" ht="12.5" x14ac:dyDescent="0.25">
      <c r="G166" s="43"/>
      <c r="H166" s="43"/>
      <c r="I166" s="30"/>
    </row>
    <row r="167" spans="1:11" ht="13" x14ac:dyDescent="0.3">
      <c r="E167" s="44" t="s">
        <v>25</v>
      </c>
      <c r="F167" s="44"/>
      <c r="G167" s="45">
        <f>G18+G40+G60+G84+G111+G133+G153+G165</f>
        <v>259.10000000000002</v>
      </c>
      <c r="H167" s="45">
        <f>H18+H40+H60+H84+H111+H133+H153+H165</f>
        <v>250.95000000000002</v>
      </c>
      <c r="I167" s="45">
        <f>H167-G167</f>
        <v>-8.1500000000000057</v>
      </c>
    </row>
  </sheetData>
  <autoFilter ref="A1:K18" xr:uid="{00000000-0009-0000-0000-000000000000}"/>
  <customSheetViews>
    <customSheetView guid="{8BAC9A6B-5D32-4E8D-967D-E17D357516F8}" filter="1" showAutoFilter="1">
      <pageMargins left="0" right="0" top="0" bottom="0" header="0" footer="0"/>
      <autoFilter ref="A1:K15" xr:uid="{93FE1CDA-7E87-496B-B508-2F341AF510F6}">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3">
    <mergeCell ref="A2:K2"/>
    <mergeCell ref="B3:K3"/>
    <mergeCell ref="B4:K4"/>
  </mergeCells>
  <conditionalFormatting sqref="B5:B17 B20:B39 B44:B59 B64:B83 B88:B110 B115:B132 B157:B164">
    <cfRule type="containsText" dxfId="17" priority="8" operator="containsText" text="Unplanned">
      <formula>NOT(ISERROR(SEARCH(("Unplanned"),(B5))))</formula>
    </cfRule>
    <cfRule type="containsText" dxfId="16" priority="9" operator="containsText" text="Planned">
      <formula>NOT(ISERROR(SEARCH(("Planned"),(B5))))</formula>
    </cfRule>
    <cfRule type="containsText" dxfId="15" priority="10" operator="containsText" text="In-Progress">
      <formula>NOT(ISERROR(SEARCH(("In-Progress"),(B5))))</formula>
    </cfRule>
    <cfRule type="containsText" dxfId="14" priority="11" operator="containsText" text="Blocked">
      <formula>NOT(ISERROR(SEARCH(("Blocked"),(B5))))</formula>
    </cfRule>
    <cfRule type="containsText" dxfId="13" priority="12" operator="containsText" text="Done">
      <formula>NOT(ISERROR(SEARCH(("Done"),(B5))))</formula>
    </cfRule>
  </conditionalFormatting>
  <conditionalFormatting sqref="B5:B18 B20:B40 B42:B60 B62:B84 B86:B111 B113:B133 B155:B164">
    <cfRule type="containsText" dxfId="12" priority="13" operator="containsText" text="Unplanned">
      <formula>NOT(ISERROR(SEARCH(("Unplanned"),(B5))))</formula>
    </cfRule>
    <cfRule type="containsText" dxfId="11" priority="14" operator="containsText" text="Cancelled">
      <formula>NOT(ISERROR(SEARCH(("Cancelled"),(B5))))</formula>
    </cfRule>
  </conditionalFormatting>
  <conditionalFormatting sqref="B135:B153">
    <cfRule type="containsText" dxfId="10" priority="6" operator="containsText" text="Unplanned">
      <formula>NOT(ISERROR(SEARCH(("Unplanned"),(B135))))</formula>
    </cfRule>
    <cfRule type="containsText" dxfId="9" priority="7" operator="containsText" text="Cancelled">
      <formula>NOT(ISERROR(SEARCH(("Cancelled"),(B135))))</formula>
    </cfRule>
  </conditionalFormatting>
  <conditionalFormatting sqref="B137:B152">
    <cfRule type="containsText" dxfId="8" priority="1" operator="containsText" text="Unplanned">
      <formula>NOT(ISERROR(SEARCH(("Unplanned"),(B137))))</formula>
    </cfRule>
    <cfRule type="containsText" dxfId="7" priority="2" operator="containsText" text="Planned">
      <formula>NOT(ISERROR(SEARCH(("Planned"),(B137))))</formula>
    </cfRule>
    <cfRule type="containsText" dxfId="6" priority="3" operator="containsText" text="In-Progress">
      <formula>NOT(ISERROR(SEARCH(("In-Progress"),(B137))))</formula>
    </cfRule>
    <cfRule type="containsText" dxfId="5" priority="4" operator="containsText" text="Blocked">
      <formula>NOT(ISERROR(SEARCH(("Blocked"),(B137))))</formula>
    </cfRule>
    <cfRule type="containsText" dxfId="4" priority="5" operator="containsText" text="Done">
      <formula>NOT(ISERROR(SEARCH(("Done"),(B137))))</formula>
    </cfRule>
  </conditionalFormatting>
  <conditionalFormatting sqref="G1 G3:G18 G22:G40 G44:G60 G64:G84 G88:G111 G115:G116 G118:G133 G137:G153 G157:G167">
    <cfRule type="cellIs" dxfId="3" priority="17" operator="greaterThan">
      <formula>4</formula>
    </cfRule>
  </conditionalFormatting>
  <conditionalFormatting sqref="H1:H167">
    <cfRule type="containsBlanks" dxfId="2" priority="18">
      <formula>LEN(TRIM(H1))=0</formula>
    </cfRule>
  </conditionalFormatting>
  <conditionalFormatting sqref="I5:I18 I22:I40 I44:I60 I64:I84 I88:I111 I115:I133 I137:I153 I157:I167">
    <cfRule type="expression" dxfId="1" priority="15">
      <formula>H5/G5&gt;=1.5</formula>
    </cfRule>
    <cfRule type="expression" dxfId="0" priority="16">
      <formula>H5/G5&lt;=0.5</formula>
    </cfRule>
  </conditionalFormatting>
  <hyperlinks>
    <hyperlink ref="D5" r:id="rId1" display="https://adsai.buas.nl/Study Content/Artificial Intelligence/Week1Day1.html" xr:uid="{753CF0E9-BE9B-40B0-AD48-E69B8444AFF7}"/>
    <hyperlink ref="D6" r:id="rId2" display="https://adsai.buas.nl/Study Content/Artificial Intelligence/Week1Day2.html" xr:uid="{342EF87C-F97A-4031-931B-AEC1A8FD91C9}"/>
    <hyperlink ref="J37" r:id="rId3" xr:uid="{107CC589-8EAD-45C4-AA0E-64733C66665B}"/>
    <hyperlink ref="J59" r:id="rId4" display="https://edubuas-my.sharepoint.com/personal/234051_buas_nl/_layouts/15/stream.aspx?id=%2Fpersonal%2F234051%5Fbuas%5Fnl%2FDocuments%2FMicrosoft%20Teams%20Chat%20Files%2FPXL%5F20230922%5F112725537%2ETS%2Emp4&amp;referrer=OfficeHome%2EWeb&amp;referrerScenario=RecentVideo%2EView" xr:uid="{88A7A384-32B4-4CE9-A265-63DA16012217}"/>
    <hyperlink ref="J15" r:id="rId5" xr:uid="{6D99C731-A951-4E0B-A13F-AE542C3B1E61}"/>
    <hyperlink ref="J27" r:id="rId6" xr:uid="{33286272-B8E6-4E85-93A6-5C51AA229BF0}"/>
    <hyperlink ref="J31" r:id="rId7" xr:uid="{84418DBE-5FA0-45E4-BAC7-9447492338D6}"/>
    <hyperlink ref="J32" r:id="rId8" xr:uid="{6C63DB50-6622-4240-AD53-6B0CF40251CD}"/>
    <hyperlink ref="J45" r:id="rId9" xr:uid="{201A4529-B7CB-4DC8-A64E-B05F4CDE794A}"/>
    <hyperlink ref="J49" r:id="rId10" xr:uid="{FF6ECDDF-0675-4050-A1A6-D39C3E75EAD9}"/>
    <hyperlink ref="J52" r:id="rId11" xr:uid="{B09B0EAB-1855-4025-9D21-C28DC2B0588B}"/>
    <hyperlink ref="J58" r:id="rId12" xr:uid="{F96CDDB8-74E9-4FF0-9C1E-D587B4CC04D5}"/>
    <hyperlink ref="J65" r:id="rId13" xr:uid="{F7EE3C3F-9E23-484E-B76B-1EEC855BC55F}"/>
    <hyperlink ref="J69" r:id="rId14" xr:uid="{1D91B0BA-7D71-4660-BFB1-AD800D706DE3}"/>
    <hyperlink ref="J77" r:id="rId15" xr:uid="{DE174CEA-A196-458D-A0AC-D3EAAF84A430}"/>
    <hyperlink ref="J76" r:id="rId16" xr:uid="{4E93F50B-EF7C-4774-A878-8A5DE593648E}"/>
    <hyperlink ref="J100" r:id="rId17" xr:uid="{646C8236-51C6-4DF8-8E82-765A37202D76}"/>
    <hyperlink ref="J101" r:id="rId18" xr:uid="{88BEDC38-463D-4F59-8B53-CC1BC395FC51}"/>
    <hyperlink ref="J116" r:id="rId19" xr:uid="{9866F89F-B5C8-46BB-A398-FE9FD512BD09}"/>
    <hyperlink ref="J117" r:id="rId20" xr:uid="{8F98C54C-C0D1-41B1-B63E-A47FA3394F0F}"/>
    <hyperlink ref="J123" r:id="rId21" xr:uid="{F4849F12-A144-4058-B239-73F59C2CA39A}"/>
    <hyperlink ref="J140" r:id="rId22" xr:uid="{C4B129CB-A703-4C90-B78E-02E97A1E7480}"/>
    <hyperlink ref="J148" r:id="rId23" xr:uid="{46FC6C4E-0A5A-4383-B821-35DF6DA8D797}"/>
    <hyperlink ref="J161" r:id="rId24" xr:uid="{1BD4C1EA-7984-4F72-A0F1-ED8AC52AD875}"/>
    <hyperlink ref="J164" r:id="rId25" xr:uid="{A9945D4E-B734-486F-BB14-DC5A748A3BF7}"/>
    <hyperlink ref="J157" r:id="rId26" xr:uid="{27C49A1D-719C-4FED-B8CB-B6D6BCDE4AC5}"/>
    <hyperlink ref="J91" r:id="rId27" xr:uid="{E5C0357F-EF3A-4B25-9D8B-5302D1928AB4}"/>
    <hyperlink ref="J89" r:id="rId28" xr:uid="{5EC60935-3665-4D5D-BD75-8EC342137D32}"/>
    <hyperlink ref="J158" r:id="rId29" xr:uid="{46502DAC-33B3-446E-9DC7-21D5002C535D}"/>
    <hyperlink ref="J124" r:id="rId30" xr:uid="{D0553AD1-C04E-4997-B4CF-3243390047E0}"/>
  </hyperlinks>
  <pageMargins left="0.7" right="0.7" top="0.75" bottom="0.75" header="0.3" footer="0.3"/>
  <pageSetup paperSize="9" scale="52" fitToHeight="0" orientation="landscape" r:id="rId31"/>
  <extLst>
    <ext xmlns:x14="http://schemas.microsoft.com/office/spreadsheetml/2009/9/main" uri="{CCE6A557-97BC-4b89-ADB6-D9C93CAAB3DF}">
      <x14:dataValidations xmlns:xm="http://schemas.microsoft.com/office/excel/2006/main" count="3">
        <x14:dataValidation type="list" allowBlank="1" xr:uid="{00000000-0002-0000-0000-000000000000}">
          <x14:formula1>
            <xm:f>'Drop-downs'!$C$2:$C$8</xm:f>
          </x14:formula1>
          <xm:sqref>F22:F39 F64:F83 F44:F59 F115:F132 F5:F17 F88:F110 F137:F152 F157:F164</xm:sqref>
        </x14:dataValidation>
        <x14:dataValidation type="list" allowBlank="1" xr:uid="{00000000-0002-0000-0000-000001000000}">
          <x14:formula1>
            <xm:f>'Drop-downs'!$B$2:$B$16</xm:f>
          </x14:formula1>
          <xm:sqref>E22:E39 E64:E83 E44:E59 E115:E132 E5:E17 E88:E110 E137:E152 E157:E164</xm:sqref>
        </x14:dataValidation>
        <x14:dataValidation type="list" allowBlank="1" xr:uid="{00000000-0002-0000-0000-000002000000}">
          <x14:formula1>
            <xm:f>'Drop-downs'!$A$2:$A$9</xm:f>
          </x14:formula1>
          <xm:sqref>B22:B39 B64:B83 B44:B59 B115:B132 B5:B17 B88:B110 B137:B152 B157:B164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16"/>
  <sheetViews>
    <sheetView workbookViewId="0">
      <selection activeCell="D21" sqref="D21"/>
    </sheetView>
  </sheetViews>
  <sheetFormatPr defaultColWidth="14.453125" defaultRowHeight="15" customHeight="1" x14ac:dyDescent="0.25"/>
  <cols>
    <col min="2" max="2" width="27" customWidth="1"/>
    <col min="11" max="11" width="20.453125" customWidth="1"/>
  </cols>
  <sheetData>
    <row r="2" spans="2:11" ht="13" x14ac:dyDescent="0.3">
      <c r="B2" s="17" t="s">
        <v>26</v>
      </c>
      <c r="C2" s="2" t="s">
        <v>27</v>
      </c>
      <c r="D2" s="2" t="s">
        <v>28</v>
      </c>
      <c r="E2" s="2" t="s">
        <v>29</v>
      </c>
      <c r="F2" s="2" t="s">
        <v>30</v>
      </c>
      <c r="G2" s="2" t="s">
        <v>31</v>
      </c>
      <c r="H2" s="2" t="s">
        <v>32</v>
      </c>
      <c r="I2" s="2" t="s">
        <v>33</v>
      </c>
      <c r="J2" s="2" t="s">
        <v>34</v>
      </c>
      <c r="K2" s="4" t="s">
        <v>35</v>
      </c>
    </row>
    <row r="3" spans="2:11" ht="13" x14ac:dyDescent="0.3">
      <c r="B3" s="6" t="str">
        <f>'Drop-downs'!C2</f>
        <v>-</v>
      </c>
      <c r="C3" s="8"/>
      <c r="D3" s="8"/>
      <c r="E3" s="8"/>
      <c r="F3" s="8"/>
      <c r="G3" s="8"/>
      <c r="H3" s="8"/>
      <c r="I3" s="8"/>
      <c r="J3" s="8"/>
      <c r="K3" s="9">
        <f t="shared" ref="K3:K9" si="0">SUM(C3:J3)</f>
        <v>0</v>
      </c>
    </row>
    <row r="4" spans="2:11" ht="13" x14ac:dyDescent="0.3">
      <c r="B4" s="6" t="str">
        <f>'Drop-downs'!C3</f>
        <v>ILO 1.3</v>
      </c>
      <c r="C4" s="15">
        <f ca="1">IFERROR(__xludf.DUMMYFUNCTION("IFERROR(SUM(FILTER('Worklog_Tasks&amp;Times'!$H$5:$H$14,'Worklog_Tasks&amp;Times'!$F$5:$F$14=$B4)),0)"),0)</f>
        <v>0</v>
      </c>
      <c r="D4" s="15"/>
      <c r="E4" s="15"/>
      <c r="F4" s="15"/>
      <c r="G4" s="15"/>
      <c r="H4" s="15"/>
      <c r="I4" s="15"/>
      <c r="J4" s="15"/>
      <c r="K4" s="9">
        <f t="shared" ca="1" si="0"/>
        <v>0</v>
      </c>
    </row>
    <row r="5" spans="2:11" ht="13" x14ac:dyDescent="0.3">
      <c r="B5" s="6" t="str">
        <f>'Drop-downs'!C4</f>
        <v>ILO 2.4</v>
      </c>
      <c r="C5" s="15"/>
      <c r="D5" s="15"/>
      <c r="E5" s="15"/>
      <c r="F5" s="15"/>
      <c r="G5" s="15"/>
      <c r="H5" s="15"/>
      <c r="I5" s="15"/>
      <c r="J5" s="15"/>
      <c r="K5" s="9">
        <f t="shared" si="0"/>
        <v>0</v>
      </c>
    </row>
    <row r="6" spans="2:11" ht="13" x14ac:dyDescent="0.3">
      <c r="B6" s="6" t="str">
        <f>'Drop-downs'!C5</f>
        <v>ILO 3.1</v>
      </c>
      <c r="C6" s="15"/>
      <c r="D6" s="15"/>
      <c r="E6" s="15"/>
      <c r="F6" s="15"/>
      <c r="G6" s="15"/>
      <c r="H6" s="15"/>
      <c r="I6" s="15"/>
      <c r="J6" s="15"/>
      <c r="K6" s="9">
        <f t="shared" si="0"/>
        <v>0</v>
      </c>
    </row>
    <row r="7" spans="2:11" ht="13" x14ac:dyDescent="0.3">
      <c r="B7" s="6" t="str">
        <f>'Drop-downs'!C6</f>
        <v>ILO 4.1</v>
      </c>
      <c r="C7" s="15"/>
      <c r="D7" s="15"/>
      <c r="E7" s="15"/>
      <c r="F7" s="15"/>
      <c r="G7" s="15"/>
      <c r="H7" s="15"/>
      <c r="I7" s="15"/>
      <c r="J7" s="15"/>
      <c r="K7" s="9">
        <f t="shared" si="0"/>
        <v>0</v>
      </c>
    </row>
    <row r="8" spans="2:11" ht="13" x14ac:dyDescent="0.3">
      <c r="B8" s="6" t="str">
        <f>'Drop-downs'!C7</f>
        <v>ILO 4.2</v>
      </c>
      <c r="C8" s="15"/>
      <c r="D8" s="15"/>
      <c r="E8" s="15"/>
      <c r="F8" s="15"/>
      <c r="G8" s="15"/>
      <c r="H8" s="15"/>
      <c r="I8" s="15"/>
      <c r="J8" s="15"/>
      <c r="K8" s="9">
        <f t="shared" ref="K8" si="1">SUM(C8:J8)</f>
        <v>0</v>
      </c>
    </row>
    <row r="9" spans="2:11" ht="13" x14ac:dyDescent="0.3">
      <c r="B9" s="6" t="str">
        <f>'Drop-downs'!C8</f>
        <v>ILO 5.1</v>
      </c>
      <c r="C9" s="15"/>
      <c r="D9" s="15"/>
      <c r="E9" s="15"/>
      <c r="F9" s="15"/>
      <c r="G9" s="15"/>
      <c r="H9" s="15"/>
      <c r="I9" s="15"/>
      <c r="J9" s="15"/>
      <c r="K9" s="9">
        <f t="shared" si="0"/>
        <v>0</v>
      </c>
    </row>
    <row r="10" spans="2:11" ht="13" x14ac:dyDescent="0.3">
      <c r="B10" s="17" t="s">
        <v>36</v>
      </c>
      <c r="C10" s="18">
        <f t="shared" ref="C10:J10" ca="1" si="2">SUM(C3:C9)</f>
        <v>0</v>
      </c>
      <c r="D10" s="18">
        <f t="shared" si="2"/>
        <v>0</v>
      </c>
      <c r="E10" s="18">
        <f t="shared" si="2"/>
        <v>0</v>
      </c>
      <c r="F10" s="18">
        <f t="shared" si="2"/>
        <v>0</v>
      </c>
      <c r="G10" s="18">
        <f t="shared" si="2"/>
        <v>0</v>
      </c>
      <c r="H10" s="18">
        <f t="shared" si="2"/>
        <v>0</v>
      </c>
      <c r="I10" s="18">
        <f t="shared" si="2"/>
        <v>0</v>
      </c>
      <c r="J10" s="18">
        <f t="shared" si="2"/>
        <v>0</v>
      </c>
      <c r="K10" s="20"/>
    </row>
    <row r="11" spans="2:11" ht="13" x14ac:dyDescent="0.3">
      <c r="B11" s="22"/>
      <c r="C11" s="23"/>
      <c r="D11" s="23"/>
      <c r="E11" s="23"/>
      <c r="F11" s="23"/>
      <c r="G11" s="23"/>
      <c r="H11" s="23"/>
      <c r="I11" s="23"/>
      <c r="J11" s="23"/>
      <c r="K11" s="23"/>
    </row>
    <row r="12" spans="2:11" ht="15" customHeight="1" x14ac:dyDescent="0.25">
      <c r="B12" s="78" t="s">
        <v>37</v>
      </c>
      <c r="C12" s="79"/>
      <c r="D12" s="79"/>
      <c r="E12" s="79"/>
      <c r="F12" s="79"/>
      <c r="G12" s="79"/>
      <c r="H12" s="79"/>
      <c r="I12" s="79"/>
      <c r="J12" s="79"/>
      <c r="K12" s="79"/>
    </row>
    <row r="16" spans="2:11" ht="15" customHeight="1" x14ac:dyDescent="0.3">
      <c r="B16" s="80" t="s">
        <v>38</v>
      </c>
      <c r="C16" s="79"/>
      <c r="D16" s="79"/>
      <c r="E16" s="79"/>
      <c r="F16" s="79"/>
      <c r="G16" s="79"/>
    </row>
  </sheetData>
  <mergeCells count="2">
    <mergeCell ref="B12:K12"/>
    <mergeCell ref="B16:G16"/>
  </mergeCells>
  <conditionalFormatting sqref="C10:J10">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8" sqref="C8"/>
    </sheetView>
  </sheetViews>
  <sheetFormatPr defaultColWidth="14.453125" defaultRowHeight="15" customHeight="1" x14ac:dyDescent="0.25"/>
  <cols>
    <col min="1" max="6" width="14.453125" customWidth="1"/>
  </cols>
  <sheetData>
    <row r="1" spans="1:3" ht="15.75" customHeight="1" x14ac:dyDescent="0.25">
      <c r="A1" s="1" t="s">
        <v>39</v>
      </c>
      <c r="B1" s="1" t="s">
        <v>4</v>
      </c>
      <c r="C1" s="1" t="s">
        <v>40</v>
      </c>
    </row>
    <row r="2" spans="1:3" ht="15.75" customHeight="1" x14ac:dyDescent="0.25">
      <c r="A2" t="s">
        <v>41</v>
      </c>
      <c r="B2" t="s">
        <v>41</v>
      </c>
      <c r="C2" s="11" t="s">
        <v>41</v>
      </c>
    </row>
    <row r="3" spans="1:3" ht="15.75" customHeight="1" x14ac:dyDescent="0.25">
      <c r="A3" t="s">
        <v>42</v>
      </c>
      <c r="B3" t="s">
        <v>43</v>
      </c>
      <c r="C3" s="11" t="s">
        <v>44</v>
      </c>
    </row>
    <row r="4" spans="1:3" ht="15.75" customHeight="1" x14ac:dyDescent="0.25">
      <c r="A4" t="s">
        <v>45</v>
      </c>
      <c r="B4" t="s">
        <v>46</v>
      </c>
      <c r="C4" s="11" t="s">
        <v>47</v>
      </c>
    </row>
    <row r="5" spans="1:3" ht="15.75" customHeight="1" x14ac:dyDescent="0.25">
      <c r="A5" t="s">
        <v>48</v>
      </c>
      <c r="B5" t="s">
        <v>49</v>
      </c>
      <c r="C5" s="11" t="s">
        <v>50</v>
      </c>
    </row>
    <row r="6" spans="1:3" ht="15.75" customHeight="1" x14ac:dyDescent="0.25">
      <c r="A6" t="s">
        <v>51</v>
      </c>
      <c r="B6" t="s">
        <v>52</v>
      </c>
      <c r="C6" s="11" t="s">
        <v>53</v>
      </c>
    </row>
    <row r="7" spans="1:3" ht="15.75" customHeight="1" x14ac:dyDescent="0.25">
      <c r="A7" t="s">
        <v>16</v>
      </c>
      <c r="B7" t="s">
        <v>54</v>
      </c>
      <c r="C7" s="11" t="s">
        <v>55</v>
      </c>
    </row>
    <row r="8" spans="1:3" ht="15.75" customHeight="1" x14ac:dyDescent="0.25">
      <c r="A8" t="s">
        <v>56</v>
      </c>
      <c r="B8" t="s">
        <v>57</v>
      </c>
      <c r="C8" s="11" t="s">
        <v>58</v>
      </c>
    </row>
    <row r="9" spans="1:3" ht="15.75" customHeight="1" x14ac:dyDescent="0.25">
      <c r="A9" t="s">
        <v>59</v>
      </c>
      <c r="B9" s="11" t="s">
        <v>60</v>
      </c>
    </row>
    <row r="10" spans="1:3" ht="15.75" customHeight="1" x14ac:dyDescent="0.25">
      <c r="B10" s="11" t="s">
        <v>61</v>
      </c>
    </row>
    <row r="11" spans="1:3" ht="15.75" customHeight="1" x14ac:dyDescent="0.25">
      <c r="B11" s="11" t="s">
        <v>62</v>
      </c>
    </row>
    <row r="12" spans="1:3" ht="15.75" customHeight="1" x14ac:dyDescent="0.25">
      <c r="B12" s="11" t="s">
        <v>63</v>
      </c>
    </row>
    <row r="13" spans="1:3" ht="15.75" customHeight="1" x14ac:dyDescent="0.25">
      <c r="B13" s="11" t="s">
        <v>64</v>
      </c>
    </row>
    <row r="14" spans="1:3" ht="15.75" customHeight="1" x14ac:dyDescent="0.25">
      <c r="B14" s="11" t="s">
        <v>45</v>
      </c>
    </row>
    <row r="15" spans="1:3" ht="15.75" customHeight="1" x14ac:dyDescent="0.25">
      <c r="B15" s="11" t="s">
        <v>65</v>
      </c>
    </row>
    <row r="16" spans="1:3" ht="15.75" customHeight="1" x14ac:dyDescent="0.25">
      <c r="B16" s="11" t="s">
        <v>66</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5914ba8-9e4a-4224-9594-5062124be8f1" xsi:nil="true"/>
    <lcf76f155ced4ddcb4097134ff3c332f xmlns="cafc3e4c-b146-46b8-8a52-78ced9164e8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8F7411FF5BA04C8BB948E4423DB960" ma:contentTypeVersion="11" ma:contentTypeDescription="Create a new document." ma:contentTypeScope="" ma:versionID="713ce497b2b4d71f6b5d130b802d4e8d">
  <xsd:schema xmlns:xsd="http://www.w3.org/2001/XMLSchema" xmlns:xs="http://www.w3.org/2001/XMLSchema" xmlns:p="http://schemas.microsoft.com/office/2006/metadata/properties" xmlns:ns2="cafc3e4c-b146-46b8-8a52-78ced9164e87" xmlns:ns3="35914ba8-9e4a-4224-9594-5062124be8f1" targetNamespace="http://schemas.microsoft.com/office/2006/metadata/properties" ma:root="true" ma:fieldsID="b65c5356acc1011e5a91a9ea20701c21" ns2:_="" ns3:_="">
    <xsd:import namespace="cafc3e4c-b146-46b8-8a52-78ced9164e87"/>
    <xsd:import namespace="35914ba8-9e4a-4224-9594-5062124be8f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fc3e4c-b146-46b8-8a52-78ced9164e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914ba8-9e4a-4224-9594-5062124be8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036bc52-4a51-452c-ad2d-608e46149e65}" ma:internalName="TaxCatchAll" ma:showField="CatchAllData" ma:web="35914ba8-9e4a-4224-9594-5062124be8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320CF63A-30C9-4A8C-8DF9-EA62B8EC1A62}">
  <ds:schemaRefs>
    <ds:schemaRef ds:uri="http://schemas.microsoft.com/office/infopath/2007/PartnerControls"/>
    <ds:schemaRef ds:uri="http://www.w3.org/XML/1998/namespace"/>
    <ds:schemaRef ds:uri="cafc3e4c-b146-46b8-8a52-78ced9164e87"/>
    <ds:schemaRef ds:uri="35914ba8-9e4a-4224-9594-5062124be8f1"/>
    <ds:schemaRef ds:uri="http://schemas.microsoft.com/office/2006/documentManagement/types"/>
    <ds:schemaRef ds:uri="http://purl.org/dc/elements/1.1/"/>
    <ds:schemaRef ds:uri="http://purl.org/dc/terms/"/>
    <ds:schemaRef ds:uri="http://schemas.microsoft.com/office/2006/metadata/propertie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14386F84-98B0-4EBE-8663-84C7674BA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fc3e4c-b146-46b8-8a52-78ced9164e87"/>
    <ds:schemaRef ds:uri="35914ba8-9e4a-4224-9594-5062124be8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ibrahim abdo</dc:creator>
  <cp:keywords/>
  <dc:description/>
  <cp:lastModifiedBy>Abdo, Ibrahim (231018)</cp:lastModifiedBy>
  <cp:revision/>
  <dcterms:created xsi:type="dcterms:W3CDTF">2020-05-11T09:26:10Z</dcterms:created>
  <dcterms:modified xsi:type="dcterms:W3CDTF">2023-11-02T22:24:29Z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0x010100378F7411FF5BA04C8BB948E4423DB960</vt:lpwstr>
  </property>
</Properties>
</file>