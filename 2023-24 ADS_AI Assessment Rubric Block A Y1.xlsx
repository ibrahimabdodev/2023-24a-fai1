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fireh\Documents\GitHub\2023-24a-fai1-adsai-Ibrahimabdo231018\"/>
    </mc:Choice>
  </mc:AlternateContent>
  <xr:revisionPtr revIDLastSave="0" documentId="13_ncr:1_{2B416AAB-86AC-4A61-862F-2F291243C9E9}" xr6:coauthVersionLast="47" xr6:coauthVersionMax="47" xr10:uidLastSave="{00000000-0000-0000-0000-000000000000}"/>
  <bookViews>
    <workbookView xWindow="-110" yWindow="-110" windowWidth="25820" windowHeight="15500" xr2:uid="{00000000-000D-0000-FFFF-FFFF00000000}"/>
  </bookViews>
  <sheets>
    <sheet name="Student Self-Assessment" sheetId="1" r:id="rId1"/>
    <sheet name="ASSESSMENT RUBRIC" sheetId="2" state="hidden" r:id="rId2"/>
    <sheet name="Overview"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dOFpLH8nnuOagCkjXmqa+dNAPaQ=="/>
    </ext>
  </extLst>
</workbook>
</file>

<file path=xl/calcChain.xml><?xml version="1.0" encoding="utf-8"?>
<calcChain xmlns="http://schemas.openxmlformats.org/spreadsheetml/2006/main">
  <c r="L24" i="1" l="1"/>
  <c r="N23" i="1"/>
  <c r="S18" i="2"/>
  <c r="R18" i="2"/>
  <c r="Q18" i="2"/>
  <c r="P18" i="2"/>
  <c r="O18" i="2"/>
  <c r="N18" i="2"/>
  <c r="S14" i="2"/>
  <c r="R14" i="2"/>
  <c r="Q14" i="2"/>
  <c r="P14" i="2"/>
  <c r="O14" i="2"/>
  <c r="N14" i="2"/>
  <c r="S7" i="2"/>
  <c r="R7" i="2"/>
  <c r="Q7" i="2"/>
  <c r="P7" i="2"/>
  <c r="O7" i="2"/>
  <c r="N7" i="2"/>
  <c r="S5" i="2"/>
  <c r="R5" i="2"/>
  <c r="Q5" i="2"/>
  <c r="P5" i="2"/>
  <c r="O5" i="2"/>
  <c r="N5" i="2"/>
  <c r="N21" i="1"/>
  <c r="N20" i="1"/>
  <c r="N18" i="1"/>
  <c r="N16" i="1"/>
  <c r="N14" i="1"/>
  <c r="N24" i="1" l="1"/>
  <c r="M4" i="1" s="1"/>
  <c r="N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5" authorId="0" shapeId="0" xr:uid="{00000000-0006-0000-0100-000001000000}">
      <text>
        <r>
          <rPr>
            <sz val="10"/>
            <color rgb="FF000000"/>
            <rFont val="Arial"/>
            <family val="2"/>
            <scheme val="minor"/>
          </rPr>
          <t>======
ID#AAAAZPao7K8
    (2022-05-11 13:15:54)
@groot.p@ade-buas.nl will you have time to update these criteria.. I can add the OOP ones
_Assigned to Phil de Groot_
	-Abhishek Biswas</t>
        </r>
      </text>
    </comment>
  </commentList>
  <extLst>
    <ext xmlns:r="http://schemas.openxmlformats.org/officeDocument/2006/relationships" uri="GoogleSheetsCustomDataVersion1">
      <go:sheetsCustomData xmlns:go="http://customooxmlschemas.google.com/" r:id="rId1" roundtripDataSignature="AMtx7mhn7Yn3Ksc0QptyahFZOxKVRjWN/g=="/>
    </ext>
  </extLst>
</comments>
</file>

<file path=xl/sharedStrings.xml><?xml version="1.0" encoding="utf-8"?>
<sst xmlns="http://schemas.openxmlformats.org/spreadsheetml/2006/main" count="271" uniqueCount="212">
  <si>
    <t>Student Self-Assessment</t>
  </si>
  <si>
    <t>Details</t>
  </si>
  <si>
    <t>Description</t>
  </si>
  <si>
    <t>Comments About Self-Assessment Result</t>
  </si>
  <si>
    <t>Self-Assessed  Grade</t>
  </si>
  <si>
    <t>Student Number</t>
  </si>
  <si>
    <t>GRADE</t>
  </si>
  <si>
    <t>Student Name</t>
  </si>
  <si>
    <t>Project</t>
  </si>
  <si>
    <t>2023-24A FGA1.P1-ADSAI</t>
  </si>
  <si>
    <t>Opportunity</t>
  </si>
  <si>
    <t>First Opportunity</t>
  </si>
  <si>
    <t>Project Deadline</t>
  </si>
  <si>
    <t>Grading Rubric</t>
  </si>
  <si>
    <t>Indicated Learning Outcomes &amp; Assessment Indicators</t>
  </si>
  <si>
    <t>MISSING</t>
  </si>
  <si>
    <t>POOR</t>
  </si>
  <si>
    <t>INSUFFICIENT</t>
  </si>
  <si>
    <t>SUFFICIENT</t>
  </si>
  <si>
    <t>GOOD</t>
  </si>
  <si>
    <t>EXCELLENT</t>
  </si>
  <si>
    <t>POINTS</t>
  </si>
  <si>
    <t>RESULT</t>
  </si>
  <si>
    <t>SCORE</t>
  </si>
  <si>
    <t>Competencie 9
Dublin Descriptors 1, 2, 3, 4</t>
  </si>
  <si>
    <t xml:space="preserve">1.0 Professional Practice
The student demonstrates professional behavior as well as accountability and ethics in the application of industry best practices for planning, communication, collaboration, and responsible execution of work assignments. </t>
  </si>
  <si>
    <t>1.3 The student attends the Datalab sessions, and submits work, adhering to defined guidelines and processes in the Creative Brief.</t>
  </si>
  <si>
    <t>Not addressed this block in your project work. Your project work evidencing can include your Learning Log, Work Log, GitHub commits and supporting documents you submitted with your project by uploading during hand-in.</t>
  </si>
  <si>
    <t xml:space="preserve">The student notifies teaching staff if they are late or absent during DataLab by filling in the 'Datalab Absence' form; Incurred a maximum of two unexcused DataLab absences during the block, as tracked by the ADSAI Attendance application. </t>
  </si>
  <si>
    <t xml:space="preserve">The student completes DataLab Preparation exercises listed on Brightspace before the corresponding DataLab session; The student updates their Work Log regularly. And meeting all criteria in poor. </t>
  </si>
  <si>
    <t xml:space="preserve">The student updates their Work Log on a daily basis; In case of absence, the student proposes and completes activities that are acceptable alternatives to the learning activities presented in DataLab. And meeting all criteria in insufficient. </t>
  </si>
  <si>
    <t xml:space="preserve">The student submits work that meets professional standards regarding grammar, spelling, writing style, content, and neatness.  And meeting all criteria in sufficient. </t>
  </si>
  <si>
    <t xml:space="preserve">The student shares knowledge with or helps peers or other members of the AI/Data Science community (e.g., write a blog post, and share it in Brightspace, contribute to an open source project, participate in a Kaggle challenge, etc.). And meeting all criteria in good.  </t>
  </si>
  <si>
    <t>Competencies 10
Dublin Descriptors 2, 3, 4, 5</t>
  </si>
  <si>
    <t xml:space="preserve">2.0 Personal Development &amp; Academic Practice
The student demonstrate self-exploration and personal development, good academic practices in learning how to learn and the acquisition of professional knowledge through research, 
study, analysis, applied practice, discussion and reporting. 
</t>
  </si>
  <si>
    <t>2.4 The student reports on learning progress and updates plans in a well-written, concise format with appropriate visual communication, guided by active engagement with feedback.</t>
  </si>
  <si>
    <t>The Learning Log is complete. There is no evidence of plagiarism.</t>
  </si>
  <si>
    <t xml:space="preserve">Each week the Learning Log details important tasks completed. And meeting all criteria in poor. </t>
  </si>
  <si>
    <t xml:space="preserve">Each week the Learning Log details what was learnt. Each of the ILOs in the Learning Log detail how they were addressed. And meeting all criteria in insufficient. </t>
  </si>
  <si>
    <t xml:space="preserve">All references to important resources used are included. Your evidence is clear and to the point. And meeting all criteria in sufficient. </t>
  </si>
  <si>
    <t xml:space="preserve">Your writing style is professional and free of spelling and grammar mistakes. Clear what was done and why individual and project feedback was given. And meeting all criteria in good. </t>
  </si>
  <si>
    <t>Competency 1, 2
Dublin Descriptors 1, 2, 3, 4, 5</t>
  </si>
  <si>
    <t xml:space="preserve">3.1 The student is able to identify, and analyze AI applications in fictional and real-life (business) scenarios by examining and applying relevant concepts from AI literature and theory. </t>
  </si>
  <si>
    <t xml:space="preserve">Not addressed this block in your project work. Your project work evidencing can include your Learning Log, Work Log, GitHub commits and supporting documents you submitted with your project by uploading during hand-in. </t>
  </si>
  <si>
    <t>The student is able to effectively communicate their research findings in a 7-minute presentation.</t>
  </si>
  <si>
    <t>The student is able to identify, and describe an AI topic within the movie Minority Report, and connect it to the relevant domain(s), and subdomain(s) of the Taxonomy of AI. And meeting all criteria in poor.</t>
  </si>
  <si>
    <t xml:space="preserve">The student is able to provide one example of an AI application within a real-life (business) setting that is related to their chosen AI topic; An annotated reference list is provided at the end of the presentation. And meeting all criteria in insufficient. </t>
  </si>
  <si>
    <t xml:space="preserve">The student is able to evaluate the technical feasibility of the AI topic by critically assessing its application within a real-life (business) setting; At least one scholarly source is incorporated, and referenced in the presentation.  And meeting all criteria in sufficient. </t>
  </si>
  <si>
    <t xml:space="preserve">The student is able to articulate the potential ethical and/or legal consequences of implementing the chosen AI topic in a real-life (business) setting.  And meeting all criteria in good. </t>
  </si>
  <si>
    <t>4.0 Introduction to Data Science
The student demonstrates basic knowledge and skills in the field of data science by transforming a business requirement into a data science problem and propose an effective solution.</t>
  </si>
  <si>
    <t xml:space="preserve">4.1 The student is able to design an effective dashboard in Power BI in order to provide new insights into a research 
question. </t>
  </si>
  <si>
    <t>The student is able to describe data using measure of central tendency such as mean, median, mode or measures of dispersion such as standard deviation, range and IQR and determine which measure is best applicable to solve a use-case using Power BI.</t>
  </si>
  <si>
    <t>The student is able to create appropriate data visualisations, according to the criteria in Datalab Task 5, and determine which visual is best applicable to solve a use-case using Power BI.</t>
  </si>
  <si>
    <t>The student is able to calculate and interpret measures of association such as a correlation coefficient to solve a use-case using Power BI.</t>
  </si>
  <si>
    <t xml:space="preserve">Student is able to incorporate data-driven storytelling techniques and user experience (UX) design principles; according to the criteria in Datalab Task 7, to create an intuitive and clearly comphrensible dashboard. And meeting all criteria in sufficient. </t>
  </si>
  <si>
    <t xml:space="preserve">Student is able to recognize the data science lifecyle as an iterative process and can clearly distinguish between phases of CRISP-DM.  And meeting all criteria in good. </t>
  </si>
  <si>
    <t xml:space="preserve">4.2 The student applies the data science concepts learned and use a standard data science tool to solve a project task. </t>
  </si>
  <si>
    <t>The student is able to compose a clear data-driven research question, according to the criteria in Datalab Task 2, and is able to import data in 'flat-file' format to Power BI.</t>
  </si>
  <si>
    <t xml:space="preserve">The student is able to propose a solution; a simple/multiple linear regression, to the data-driven research question based on the exploratory data analysis and visualisations using Power BI. And meeting all criteria in insufficient. </t>
  </si>
  <si>
    <t xml:space="preserve">Student is able to interpret his/her findings correctly. And meeting all criteria in sufficient. </t>
  </si>
  <si>
    <r>
      <rPr>
        <sz val="10"/>
        <color rgb="FF000000"/>
        <rFont val="Calibri"/>
        <family val="2"/>
      </rPr>
      <t>Student is able to discover new patterns in the dataset which are not related to the original research question and thereby, propose next steps for</t>
    </r>
    <r>
      <rPr>
        <sz val="10"/>
        <color rgb="FF000000"/>
        <rFont val="Calibri"/>
        <family val="2"/>
      </rPr>
      <t xml:space="preserve"> future research.</t>
    </r>
    <r>
      <rPr>
        <sz val="10"/>
        <color rgb="FF000000"/>
        <rFont val="Calibri"/>
        <family val="2"/>
      </rPr>
      <t xml:space="preserve"> And meeting all criteria in good. </t>
    </r>
  </si>
  <si>
    <t>5.0 Introduction to Programming with Python
The student is able to write Python programs, to solve a wide range of introductory programming challenges and perform basic data analysis, using fundamental programming concepts.</t>
  </si>
  <si>
    <t>5.1 The student is able to write Python programs, to solve a wide range of introductory programming challenges and perform basic data analysis, using fundamental programming concepts.</t>
  </si>
  <si>
    <t>PROJECT TOTAL</t>
  </si>
  <si>
    <t xml:space="preserve"> YOUR TOTAL </t>
  </si>
  <si>
    <t>ADS&amp;AI Competencies</t>
  </si>
  <si>
    <t>#</t>
  </si>
  <si>
    <t>CRISP-DM Phase</t>
  </si>
  <si>
    <t>Competency</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</si>
  <si>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</si>
  <si>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</si>
  <si>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</si>
  <si>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</si>
  <si>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Academic skills</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</si>
  <si>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</si>
  <si>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</si>
  <si>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</si>
  <si>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</si>
  <si>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</si>
  <si>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</si>
  <si>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</si>
  <si>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</si>
  <si>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</si>
  <si>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</si>
  <si>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</si>
  <si>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</si>
  <si>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</si>
  <si>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</si>
  <si>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</si>
  <si>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</si>
  <si>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</si>
  <si>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</si>
  <si>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</si>
  <si>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</si>
  <si>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</si>
  <si>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</si>
  <si>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</si>
  <si>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</si>
  <si>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Dublin Descriptors</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</si>
  <si>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</si>
  <si>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</si>
  <si>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</si>
  <si>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</si>
  <si>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</si>
  <si>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</si>
  <si>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</si>
  <si>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</si>
  <si>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 xml:space="preserve">Can apply their knowledge and understanding, and problem solving abilities in new or unfamiliar environments within broader (or multidisciplinary) contexts related to their field of study.
</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</si>
  <si>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</si>
  <si>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</si>
  <si>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</si>
  <si>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</si>
  <si>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</si>
  <si>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</si>
  <si>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</si>
  <si>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</si>
  <si>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</si>
  <si>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ILO</t>
  </si>
  <si>
    <t>Data Structure - Demonstrate understanding of standard data structure and able to derive required structures for the project with strong reasoning and able to discuss the pros and cons.</t>
  </si>
  <si>
    <t>Missing (0 points)</t>
  </si>
  <si>
    <t>Poor (2 points)</t>
  </si>
  <si>
    <t>Insufficient (4 points)</t>
  </si>
  <si>
    <t>Sufficient (6 points)</t>
  </si>
  <si>
    <t>Good (8 points)</t>
  </si>
  <si>
    <t>Excellent (10 points)</t>
  </si>
  <si>
    <t>Demonstrates an understanding of standard datastructures and how they are selected, the internal structure and use.</t>
  </si>
  <si>
    <t>Data Structure - Demonstrate understanding of standard data structures (Containers, algorithms, iterators etc)</t>
  </si>
  <si>
    <t xml:space="preserve">Not addressed this block in project work.
</t>
  </si>
  <si>
    <t>Research for the basic data structures is not enough to start the implementation for a working code.</t>
  </si>
  <si>
    <t>Researched basic structures without much in depth analysis showing partial understanding of the concept .</t>
  </si>
  <si>
    <t>Analysed the requirements for the project and researched those data structure well enough to get them working in the project.</t>
  </si>
  <si>
    <t>Reseached in-depth, for performance factors (memory, runtime overheads, robustness etc..) of the data structures and able to conclude the pros &amp; cons of their implementation.</t>
  </si>
  <si>
    <t>Researched the best practices for building a library which can be used for generic purposes.</t>
  </si>
  <si>
    <t xml:space="preserve">Not evidenced this block in learning Log.
</t>
  </si>
  <si>
    <t>Poorly Evidenced in Learning Log.</t>
  </si>
  <si>
    <t>Documentation fail to prove certain key points which help in mapping the research to the project's need.</t>
  </si>
  <si>
    <t>The understanding is well documented including certain key reflection towards next steps on the topics.</t>
  </si>
  <si>
    <t>Researched exceptions and edge conditions of the structures for robust implementation .</t>
  </si>
  <si>
    <t>Presented an excellent research document, backed up with use cases and details from project.</t>
  </si>
  <si>
    <t>Demonstrating understanding of performance (memory, runtime overheads, robustness etc..) of the derived data types, the overall game performance and memory footprint.</t>
  </si>
  <si>
    <t>Data Stucture - Build your library of data stuctures</t>
  </si>
  <si>
    <t>Not addressed this block in project work.</t>
  </si>
  <si>
    <t>Poorly analysed the used case for data structure followed by incorrect to no implementation.</t>
  </si>
  <si>
    <t>Standard operators are implemented to minimum functionality.</t>
  </si>
  <si>
    <t>All standard operators are functional with only minor or no bugs.</t>
  </si>
  <si>
    <t>Required data structures implemented fully and used well in project.</t>
  </si>
  <si>
    <t>Library proves robustness with implemented unit test cases.</t>
  </si>
  <si>
    <t>Deriving an efficient practice for a context, backing up with strong reasons for the chosen approach.</t>
  </si>
  <si>
    <t>Poorly evidenced in Learning Log.</t>
  </si>
  <si>
    <t>Rare use cases demonstrated in project.</t>
  </si>
  <si>
    <t>Data structures partially organised in a library.</t>
  </si>
  <si>
    <t>All or most of the data structures organised in a library.</t>
  </si>
  <si>
    <t>Library is generic enough to be used for multiple projects this block.</t>
  </si>
  <si>
    <t>M</t>
  </si>
  <si>
    <t>P</t>
  </si>
  <si>
    <t>Is</t>
  </si>
  <si>
    <t>S</t>
  </si>
  <si>
    <t>G</t>
  </si>
  <si>
    <t>E</t>
  </si>
  <si>
    <t>Working Environment : 3.1 - Proficient in using development and production tools at a professional level (e.g. Perforce, Visual Studio- 2019 as an editor / debugger / profiler).</t>
  </si>
  <si>
    <t>Poor demonstration of use cases of VS2019 as a  editor, debugger. Repeated mistakes in using VS2019 due to lack of understanding and research on the topics. Did not demonstrated much learning on the topic and progress. 
Poorly documented the learning.</t>
  </si>
  <si>
    <t>Shown use cases and understanding of VS2019 as a C++ project editor.
Can demonstrate some usertanding and use cases of VS2019 Debugger.</t>
  </si>
  <si>
    <t>Can demonstrate extensive use of VS2019 debugger. 
Researched and included VS2019 plugins and shows understanding of the usage and purposes of the plugins.
Can create VS2019 C++ project from scratch
Can maintain filters and physical folders with consistent naming conventions for VS2019 projects.</t>
  </si>
  <si>
    <t>Can proficiently use VS2019 profiler and shows understanding of profiler concepts and how they can useful in improving performance of game
researched into atleast 1 or more profilers (CPU/GPU) and discussed the pros and cons or similaritites with VS2019 profiler.
Based on the project's requirement invest into atleast 1 more production /developement tool (eg: 2D-Level editors, Sound Editors etc.).</t>
  </si>
  <si>
    <t>Attitude towards building an automatic pipeline integrating production tools for build releases or production helpers.</t>
  </si>
  <si>
    <t>Perforce</t>
  </si>
  <si>
    <t>Poor understanding of source control operations, and consistent repetation of minor mistakes using perforce for project without showcasing any progress in learning. Poorly documented evidence</t>
  </si>
  <si>
    <t>Can use perforce for a day to day basis with basic functionalities, but does not demonstrate much understanding of concepts through use cases or learning documents.</t>
  </si>
  <si>
    <t>Demonstrates understanding of Perforce by showing use of atleast 4 or more operations and their purposes. Shows clear understanding of working with source control - Changelist, versions etc.</t>
  </si>
  <si>
    <t>Demonstrates understanding of Perforce by showing: 1) use of atleast 6 or more operations and their purposes. 2) Atleast 1 use case showcasing alternate set of operations serving the same use case. Shows clear understanding of source control termilogy - Client/Server/Workspace.</t>
  </si>
  <si>
    <t>Optional, uses perforce commandline utility to build and configure custom perforce clients for basic operations.</t>
  </si>
  <si>
    <t>Working Environment : 3.2 - Understanding C++ Build Process &amp; setting up and maintaining multiple game projects optimally where the projects easily check-out and compiles on other computers.</t>
  </si>
  <si>
    <t>Learning evidence and project setup demonstrates poor understanding of the build process in C++.</t>
  </si>
  <si>
    <t>Sufficient understanding of pre-compile and compile stage, but insufficient understanding of Linker stage. Documents not well written to demonstate the learning.</t>
  </si>
  <si>
    <t xml:space="preserve">Shows basic understanding of 3 key phases of C++ build process (precompile, compile and link stage) and reports the learning well in document and applies them in project. Makes suitable judgement of the files that needs to be or does not need to be on Perforce . </t>
  </si>
  <si>
    <t>Shows in depth analysis of the stages of build process in C++ project. 
Only the essential source files for building the game is submitted to perforce atleast 80% of the block.</t>
  </si>
  <si>
    <t>Explore other build option than VS2019. (Commandline and batch files can also be considered)</t>
  </si>
  <si>
    <t>Final build compiles and runs with less than 3 warnings and no errors</t>
  </si>
  <si>
    <t>Source code from perforce can be downloaded and build with no errors and warnings more than 80% of the time throughout the block</t>
  </si>
  <si>
    <t>Missing</t>
  </si>
  <si>
    <t>IS</t>
  </si>
  <si>
    <t>Good</t>
  </si>
  <si>
    <t>Excellent</t>
  </si>
  <si>
    <t>Use of C++ efficiently &amp; effectively and OOP design principles.</t>
  </si>
  <si>
    <t>C++</t>
  </si>
  <si>
    <t>No evidence provided</t>
  </si>
  <si>
    <t>Poor understanding of C++ language constructs</t>
  </si>
  <si>
    <t>Correct usage of basic data types, casting methods, references, and pointers. Understands scope, object lifetime, and control flow</t>
  </si>
  <si>
    <t>Appropriate usage of classes, functions, polymorphism and abstraction. Code runs cleanly without any crashes. Understanding of basic memory primitives such as arrays.</t>
  </si>
  <si>
    <t>Documented reasoning behind decisions with regards to performance and memory usage of chosen algorithms. No memory leaks or undefined behaviour present in the code. Understanding of the stack and heap. Understanding of binary and bitwise operations.</t>
  </si>
  <si>
    <t xml:space="preserve">Applies modern C++ guidelines with a clear reasoning why or why not. Consistent coding style. Const-correct code with clear and defined responsibilities for all objects and functions. </t>
  </si>
  <si>
    <t>OOP</t>
  </si>
  <si>
    <t>BLOCK A</t>
  </si>
  <si>
    <t>IGAD Phases</t>
  </si>
  <si>
    <t>Knowledge &amp; Insight</t>
  </si>
  <si>
    <t>Application of K&amp;I</t>
  </si>
  <si>
    <t>Can analyse a problem by describing the context, trade-offs and formulation of the final demand (as a result of a process of demand articulation). In doing so, she identifies the possible solutions. As a result, she can formulate an approach for a data trajectory considering relevant actors and interests, involving relevant theories and (technical) possibilities.</t>
  </si>
  <si>
    <t>x</t>
  </si>
  <si>
    <t>Has such knowledge of and insight into one or more domains that she can function as a discussion partner for experts. She is able to quickly immerse herself in new domains and associated professional networks.</t>
  </si>
  <si>
    <t>Can collaborate (internationally) in multidisciplinary teams with different levels of knowledge in the field of data use and applications. She can set up and execute projects in collaboration with stakeholders and team members. She can act as a sounding board in discussions with team members, customers, users and experts. She strives for a good balance between input of her own vision and additional expertise of others. She is able to lead a team.</t>
  </si>
  <si>
    <t>Applies relevant (research) methods and techniques in combination with relevant and adequate argumentation. She can reflect on (business) processes and her role in them, both theoretically and practically, by constantly evaluating her own actions and adapting them with input from others. She can translate the result of the reflection into concrete personal learning objectives.</t>
  </si>
  <si>
    <t>Is aware of legal and ethical aspects within the context of her professional work environment and is able to make substantiated considerations in this regard. She acts from justice and integrity.</t>
  </si>
  <si>
    <t xml:space="preserve">The student is able to select, clean and/or transform  an appropriate dataset to answer the data-driven research question according to the criteria in Datalab Task 3 .  And meeting all criteria in poor. </t>
  </si>
  <si>
    <t>The student is able to write functions that use a wide range of conditional executions, evidenced by DataLab Task 8.</t>
  </si>
  <si>
    <t>The student is able to write functions that use strings and lists to solve a wide range of problems, evidenced by DataLab Task 8. And meeting all criteria in Poor.</t>
  </si>
  <si>
    <t>The student is able to convert a wide range of simple algorithms given in English into Python, evidenced by DataLab Task 8. And meeting all criteria in Insufficient.</t>
  </si>
  <si>
    <t>The student demonstrates a solid understanding of Python fundamentals (variables, conditionals, functions, loops), data structures (strings, lists, dictionaries, tuples) and algorithms evidenced by DataLab Task 10. Moreover, the student is able to write functions that combine loops with strings and lists to solve a wide range of problems, evidenced by DataLab Task 8. And meeting all criteria in Sufficient.</t>
  </si>
  <si>
    <t>The student can design and implement a data analysis pipeline with Python for tabular data stored in a text file, to calculate summary statistics, evidenced by DataLab Task 9. Moreover, the student is able to create and execute algorithms to solve a variety of problems, demonstrating proficiency in algorithmic thinking, evidenced by DataLab Task 8. And meeting all criteria in Good.</t>
  </si>
  <si>
    <t>I[</t>
  </si>
  <si>
    <t>231018</t>
  </si>
  <si>
    <t>Ibrahim Abdo</t>
  </si>
  <si>
    <t>I was expecting to hit the exceelennt grade as I was suffering in the first weeks , but then everthing started to be more clear and understandable , with the help of my friend Nils.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</si>
</sst>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sz val="10"/>
      <color theme="1"/>
      <name val="Calibri"/>
      <family val="2"/>
    </font>
    <font>
      <sz val="10"/>
      <color rgb="FF000000"/>
      <name val="Calibri"/>
      <family val="2"/>
    </font>
    <font>
      <sz val="18"/>
      <color theme="1"/>
      <name val="Calibri"/>
      <family val="2"/>
    </font>
    <font>
      <sz val="10"/>
      <name val="Arial"/>
      <family val="2"/>
    </font>
    <font>
      <sz val="10"/>
      <color theme="0"/>
      <name val="Calibri"/>
      <family val="2"/>
    </font>
    <font>
      <b/>
      <sz val="10"/>
      <color theme="0"/>
      <name val="Calibri"/>
      <family val="2"/>
    </font>
    <font>
      <b/>
      <sz val="10"/>
      <color rgb="FFFFFFFF"/>
      <name val="Calibri"/>
      <family val="2"/>
    </font>
    <font>
      <b/>
      <sz val="14"/>
      <color theme="1"/>
      <name val="Calibri"/>
      <family val="2"/>
    </font>
    <font>
      <sz val="14"/>
      <color rgb="FFFFFFFF"/>
      <name val="Calibri"/>
      <family val="2"/>
    </font>
    <font>
      <b/>
      <sz val="24"/>
      <color theme="1"/>
      <name val="Calibri"/>
      <family val="2"/>
    </font>
    <font>
      <sz val="14"/>
      <color theme="1"/>
      <name val="Calibri"/>
      <family val="2"/>
    </font>
    <font>
      <b/>
      <sz val="10"/>
      <color rgb="FFFF0000"/>
      <name val="Calibri"/>
      <family val="2"/>
    </font>
    <font>
      <sz val="14"/>
      <color rgb="FF000000"/>
      <name val="Calibri"/>
      <family val="2"/>
    </font>
    <font>
      <b/>
      <sz val="10"/>
      <color theme="1"/>
      <name val="Calibri"/>
      <family val="2"/>
    </font>
    <font>
      <sz val="9"/>
      <color rgb="FF000000"/>
      <name val="Calibri"/>
      <family val="2"/>
    </font>
    <font>
      <sz val="10"/>
      <color theme="1"/>
      <name val="Arial"/>
      <family val="2"/>
    </font>
    <font>
      <sz val="10"/>
      <color rgb="FF000000"/>
      <name val="Arial"/>
      <family val="2"/>
    </font>
    <font>
      <sz val="11"/>
      <color rgb="FF252424"/>
      <name val="Arial"/>
      <family val="2"/>
    </font>
    <font>
      <b/>
      <sz val="20"/>
      <color rgb="FF000000"/>
      <name val="Arial"/>
      <family val="2"/>
    </font>
    <font>
      <b/>
      <sz val="10"/>
      <color rgb="FFFFFFFF"/>
      <name val="Arial"/>
      <family val="2"/>
    </font>
    <font>
      <b/>
      <sz val="10"/>
      <color theme="1"/>
      <name val="Arial"/>
      <family val="2"/>
    </font>
    <font>
      <sz val="9"/>
      <color rgb="FF000000"/>
      <name val="Arial"/>
      <family val="2"/>
    </font>
    <font>
      <i/>
      <sz val="9"/>
      <color rgb="FF000000"/>
      <name val="Arial"/>
      <family val="2"/>
    </font>
    <font>
      <sz val="10"/>
      <color theme="1"/>
      <name val="Calibri"/>
      <family val="2"/>
    </font>
    <font>
      <b/>
      <sz val="10"/>
      <color theme="1"/>
      <name val="Calibri"/>
      <family val="2"/>
    </font>
    <font>
      <sz val="10"/>
      <color rgb="FF000000"/>
      <name val="Calibri"/>
      <family val="2"/>
    </font>
    <font>
      <sz val="10"/>
      <color rgb="FF000000"/>
      <name val="Arial"/>
      <family val="2"/>
      <scheme val="minor"/>
    </font>
  </fonts>
  <fills count="36">
    <fill>
      <patternFill patternType="none"/>
    </fill>
    <fill>
      <patternFill patternType="gray125"/>
    </fill>
    <fill>
      <patternFill patternType="solid">
        <fgColor rgb="FF4C1130"/>
        <bgColor rgb="FF4C1130"/>
      </patternFill>
    </fill>
    <fill>
      <patternFill patternType="solid">
        <fgColor rgb="FFF7DCE8"/>
        <bgColor rgb="FFF7DCE8"/>
      </patternFill>
    </fill>
    <fill>
      <patternFill patternType="solid">
        <fgColor theme="1"/>
        <bgColor theme="1"/>
      </patternFill>
    </fill>
    <fill>
      <patternFill patternType="solid">
        <fgColor rgb="FF000000"/>
        <bgColor rgb="FF000000"/>
      </patternFill>
    </fill>
    <fill>
      <patternFill patternType="solid">
        <fgColor rgb="FFFFFF00"/>
        <bgColor rgb="FFFFFF00"/>
      </patternFill>
    </fill>
    <fill>
      <patternFill patternType="solid">
        <fgColor theme="0"/>
        <bgColor theme="0"/>
      </patternFill>
    </fill>
    <fill>
      <patternFill patternType="solid">
        <fgColor rgb="FF666666"/>
        <bgColor rgb="FF666666"/>
      </patternFill>
    </fill>
    <fill>
      <patternFill patternType="solid">
        <fgColor rgb="FFFFFFFF"/>
        <bgColor rgb="FFFFFFFF"/>
      </patternFill>
    </fill>
    <fill>
      <patternFill patternType="solid">
        <fgColor rgb="FFD9D9D9"/>
        <bgColor rgb="FFD9D9D9"/>
      </patternFill>
    </fill>
    <fill>
      <patternFill patternType="solid">
        <fgColor rgb="FFFBDAD7"/>
        <bgColor rgb="FFFBDAD7"/>
      </patternFill>
    </fill>
    <fill>
      <patternFill patternType="solid">
        <fgColor rgb="FFFFE1CC"/>
        <bgColor rgb="FFFFE1CC"/>
      </patternFill>
    </fill>
    <fill>
      <patternFill patternType="solid">
        <fgColor rgb="FFFEF2CD"/>
        <bgColor rgb="FFFEF2CD"/>
      </patternFill>
    </fill>
    <fill>
      <patternFill patternType="solid">
        <fgColor rgb="FFD1F1DA"/>
        <bgColor rgb="FFD1F1DA"/>
      </patternFill>
    </fill>
    <fill>
      <patternFill patternType="solid">
        <fgColor rgb="FFDAF1F3"/>
        <bgColor rgb="FFDAF1F3"/>
      </patternFill>
    </fill>
    <fill>
      <patternFill patternType="solid">
        <fgColor rgb="FFD9E7FD"/>
        <bgColor rgb="FFD9E7FD"/>
      </patternFill>
    </fill>
    <fill>
      <patternFill patternType="solid">
        <fgColor rgb="FFBDBDBD"/>
        <bgColor rgb="FFBDBDBD"/>
      </patternFill>
    </fill>
    <fill>
      <patternFill patternType="solid">
        <fgColor rgb="FFD8D8D8"/>
        <bgColor rgb="FFD8D8D8"/>
      </patternFill>
    </fill>
    <fill>
      <patternFill patternType="solid">
        <fgColor rgb="FFFAD9D6"/>
        <bgColor rgb="FFFAD9D6"/>
      </patternFill>
    </fill>
    <fill>
      <patternFill patternType="solid">
        <fgColor theme="5"/>
        <bgColor theme="5"/>
      </patternFill>
    </fill>
    <fill>
      <patternFill patternType="solid">
        <fgColor rgb="FFB7E1CD"/>
        <bgColor rgb="FFB7E1CD"/>
      </patternFill>
    </fill>
    <fill>
      <patternFill patternType="solid">
        <fgColor rgb="FFF2F2F2"/>
        <bgColor rgb="FFF2F2F2"/>
      </patternFill>
    </fill>
    <fill>
      <patternFill patternType="solid">
        <fgColor rgb="FFBFBFBF"/>
        <bgColor rgb="FFBFBFBF"/>
      </patternFill>
    </fill>
    <fill>
      <patternFill patternType="solid">
        <fgColor rgb="FFD5A6BD"/>
        <bgColor rgb="FFD5A6BD"/>
      </patternFill>
    </fill>
    <fill>
      <patternFill patternType="solid">
        <fgColor rgb="FFEAD1DC"/>
        <bgColor rgb="FFEAD1DC"/>
      </patternFill>
    </fill>
    <fill>
      <patternFill patternType="solid">
        <fgColor rgb="FFD9EAD3"/>
        <bgColor rgb="FFD9EAD3"/>
      </patternFill>
    </fill>
    <fill>
      <patternFill patternType="solid">
        <fgColor rgb="FFD9D2E9"/>
        <bgColor rgb="FFD9D2E9"/>
      </patternFill>
    </fill>
    <fill>
      <patternFill patternType="solid">
        <fgColor rgb="FFF3F3F3"/>
        <bgColor rgb="FFF3F3F3"/>
      </patternFill>
    </fill>
    <fill>
      <patternFill patternType="solid">
        <fgColor rgb="FF2F9299"/>
        <bgColor rgb="FF2F9299"/>
      </patternFill>
    </fill>
    <fill>
      <patternFill patternType="solid">
        <fgColor rgb="FF7AD592"/>
        <bgColor rgb="FF7AD592"/>
      </patternFill>
    </fill>
    <fill>
      <patternFill patternType="solid">
        <fgColor rgb="FFFEE1CC"/>
        <bgColor rgb="FFFEE1CC"/>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19">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0">
    <xf numFmtId="0" fontId="0" fillId="0" borderId="0" xfId="0"/>
    <xf numFmtId="0" fontId="2" fillId="0" borderId="0" xfId="0" applyFont="1"/>
    <xf numFmtId="0" fontId="5" fillId="0" borderId="0" xfId="0" applyFont="1"/>
    <xf numFmtId="0" fontId="2" fillId="0" borderId="0" xfId="0" applyFont="1" applyAlignment="1">
      <alignment horizontal="left" vertical="top"/>
    </xf>
    <xf numFmtId="0" fontId="2" fillId="0" borderId="0" xfId="0" applyFont="1" applyAlignment="1">
      <alignment horizontal="center" vertical="top"/>
    </xf>
    <xf numFmtId="0" fontId="14" fillId="0" borderId="0" xfId="0" applyFont="1" applyAlignment="1">
      <alignment horizontal="left" vertical="center"/>
    </xf>
    <xf numFmtId="0" fontId="1" fillId="0" borderId="0" xfId="0" applyFont="1" applyAlignment="1">
      <alignment vertical="center" wrapText="1"/>
    </xf>
    <xf numFmtId="0" fontId="16" fillId="0" borderId="0" xfId="0" applyFont="1"/>
    <xf numFmtId="0" fontId="16" fillId="0" borderId="0" xfId="0" applyFont="1" applyAlignment="1">
      <alignment wrapText="1"/>
    </xf>
    <xf numFmtId="0" fontId="16" fillId="0" borderId="0" xfId="0" applyFont="1" applyAlignment="1">
      <alignment vertical="top" wrapText="1"/>
    </xf>
    <xf numFmtId="0" fontId="16" fillId="0" borderId="0" xfId="0" applyFont="1" applyAlignment="1">
      <alignment vertical="center"/>
    </xf>
    <xf numFmtId="0" fontId="17" fillId="0" borderId="0" xfId="0" applyFont="1"/>
    <xf numFmtId="0" fontId="17" fillId="0" borderId="7" xfId="0" applyFont="1" applyBorder="1"/>
    <xf numFmtId="0" fontId="17" fillId="0" borderId="8" xfId="0" applyFont="1" applyBorder="1"/>
    <xf numFmtId="0" fontId="17" fillId="0" borderId="7" xfId="0" applyFont="1" applyBorder="1" applyAlignment="1">
      <alignment horizontal="center" vertical="top"/>
    </xf>
    <xf numFmtId="0" fontId="17" fillId="0" borderId="8" xfId="0" applyFont="1" applyBorder="1" applyAlignment="1">
      <alignment horizontal="center" vertical="top"/>
    </xf>
    <xf numFmtId="0" fontId="17" fillId="0" borderId="9" xfId="0" applyFont="1" applyBorder="1" applyAlignment="1">
      <alignment horizontal="center" vertical="top"/>
    </xf>
    <xf numFmtId="0" fontId="17" fillId="0" borderId="10" xfId="0" applyFont="1" applyBorder="1"/>
    <xf numFmtId="0" fontId="16" fillId="0" borderId="10" xfId="0" applyFont="1" applyBorder="1" applyAlignment="1">
      <alignment horizontal="center" vertical="top" wrapText="1"/>
    </xf>
    <xf numFmtId="0" fontId="16" fillId="0" borderId="0" xfId="0" applyFont="1" applyAlignment="1">
      <alignment horizontal="center" vertical="top" wrapText="1"/>
    </xf>
    <xf numFmtId="0" fontId="16" fillId="0" borderId="11" xfId="0" applyFont="1" applyBorder="1" applyAlignment="1">
      <alignment horizontal="center" vertical="top" wrapText="1"/>
    </xf>
    <xf numFmtId="0" fontId="21" fillId="0" borderId="10" xfId="0" applyFont="1" applyBorder="1" applyAlignment="1">
      <alignment vertical="top"/>
    </xf>
    <xf numFmtId="0" fontId="21" fillId="0" borderId="0" xfId="0" applyFont="1" applyAlignment="1">
      <alignment vertical="top"/>
    </xf>
    <xf numFmtId="0" fontId="21" fillId="0" borderId="11" xfId="0" applyFont="1" applyBorder="1" applyAlignment="1">
      <alignment vertical="top"/>
    </xf>
    <xf numFmtId="0" fontId="16" fillId="30" borderId="12" xfId="0" applyFont="1" applyFill="1" applyBorder="1" applyAlignment="1">
      <alignment horizontal="center" vertical="center"/>
    </xf>
    <xf numFmtId="0" fontId="22" fillId="30" borderId="13" xfId="0" applyFont="1" applyFill="1" applyBorder="1" applyAlignment="1">
      <alignment horizontal="left" vertical="center" wrapText="1"/>
    </xf>
    <xf numFmtId="0" fontId="16" fillId="30" borderId="14" xfId="0" applyFont="1" applyFill="1" applyBorder="1" applyAlignment="1">
      <alignment horizontal="center" vertical="center"/>
    </xf>
    <xf numFmtId="0" fontId="16" fillId="30" borderId="13" xfId="0" applyFont="1" applyFill="1" applyBorder="1" applyAlignment="1">
      <alignment horizontal="center" vertical="center"/>
    </xf>
    <xf numFmtId="0" fontId="17" fillId="0" borderId="15" xfId="0" applyFont="1" applyBorder="1"/>
    <xf numFmtId="0" fontId="16" fillId="31" borderId="12" xfId="0" applyFont="1" applyFill="1" applyBorder="1" applyAlignment="1">
      <alignment horizontal="center" vertical="center"/>
    </xf>
    <xf numFmtId="0" fontId="23" fillId="31" borderId="13" xfId="0" applyFont="1" applyFill="1" applyBorder="1" applyAlignment="1">
      <alignment horizontal="left" vertical="center" wrapText="1"/>
    </xf>
    <xf numFmtId="0" fontId="22" fillId="31" borderId="13" xfId="0" applyFont="1" applyFill="1" applyBorder="1" applyAlignment="1">
      <alignment horizontal="left" vertical="center" wrapText="1"/>
    </xf>
    <xf numFmtId="0" fontId="16" fillId="31" borderId="14" xfId="0" applyFont="1" applyFill="1" applyBorder="1" applyAlignment="1">
      <alignment horizontal="center" vertical="center"/>
    </xf>
    <xf numFmtId="0" fontId="16" fillId="31" borderId="13" xfId="0" applyFont="1" applyFill="1" applyBorder="1" applyAlignment="1">
      <alignment horizontal="center" vertical="center"/>
    </xf>
    <xf numFmtId="0" fontId="16" fillId="31" borderId="16" xfId="0" applyFont="1" applyFill="1" applyBorder="1" applyAlignment="1">
      <alignment horizontal="center" vertical="center"/>
    </xf>
    <xf numFmtId="0" fontId="16" fillId="31" borderId="17" xfId="0" applyFont="1" applyFill="1" applyBorder="1" applyAlignment="1">
      <alignment horizontal="center" vertical="center"/>
    </xf>
    <xf numFmtId="0" fontId="16" fillId="31" borderId="18" xfId="0" applyFont="1" applyFill="1" applyBorder="1" applyAlignment="1">
      <alignment horizontal="center" vertical="center"/>
    </xf>
    <xf numFmtId="0" fontId="1" fillId="2" borderId="1" xfId="0" applyFont="1" applyFill="1" applyBorder="1"/>
    <xf numFmtId="0" fontId="1" fillId="3" borderId="1" xfId="0" applyFont="1" applyFill="1" applyBorder="1"/>
    <xf numFmtId="0" fontId="5" fillId="2" borderId="1" xfId="0" applyFont="1" applyFill="1" applyBorder="1"/>
    <xf numFmtId="0" fontId="5" fillId="3" borderId="1" xfId="0" applyFont="1" applyFill="1" applyBorder="1"/>
    <xf numFmtId="49" fontId="6" fillId="4" borderId="1" xfId="0" applyNumberFormat="1" applyFont="1" applyFill="1" applyBorder="1" applyAlignment="1">
      <alignment horizontal="left"/>
    </xf>
    <xf numFmtId="0" fontId="6" fillId="4" borderId="1" xfId="0" applyFont="1" applyFill="1" applyBorder="1"/>
    <xf numFmtId="0" fontId="5" fillId="4" borderId="1" xfId="0" applyFont="1" applyFill="1" applyBorder="1"/>
    <xf numFmtId="0" fontId="7" fillId="5" borderId="1" xfId="0" applyFont="1" applyFill="1" applyBorder="1" applyAlignment="1">
      <alignment vertical="top"/>
    </xf>
    <xf numFmtId="0" fontId="8" fillId="3" borderId="1" xfId="0" applyFont="1" applyFill="1" applyBorder="1" applyAlignment="1">
      <alignment horizontal="center" vertical="center" textRotation="90"/>
    </xf>
    <xf numFmtId="49" fontId="1" fillId="6" borderId="1" xfId="0" applyNumberFormat="1" applyFont="1" applyFill="1" applyBorder="1" applyAlignment="1">
      <alignment horizontal="left"/>
    </xf>
    <xf numFmtId="49" fontId="1" fillId="9" borderId="1" xfId="0" applyNumberFormat="1" applyFont="1" applyFill="1" applyBorder="1"/>
    <xf numFmtId="0" fontId="7" fillId="5" borderId="1" xfId="0" applyFont="1" applyFill="1" applyBorder="1" applyAlignment="1">
      <alignment horizontal="right" vertical="top"/>
    </xf>
    <xf numFmtId="49" fontId="12" fillId="9" borderId="1" xfId="0" applyNumberFormat="1" applyFont="1" applyFill="1" applyBorder="1" applyAlignment="1">
      <alignment vertical="top" wrapText="1"/>
    </xf>
    <xf numFmtId="49" fontId="7" fillId="5" borderId="1" xfId="0" applyNumberFormat="1" applyFont="1" applyFill="1" applyBorder="1" applyAlignment="1">
      <alignment horizontal="center"/>
    </xf>
    <xf numFmtId="49" fontId="7" fillId="5" borderId="1" xfId="0" applyNumberFormat="1" applyFont="1" applyFill="1" applyBorder="1"/>
    <xf numFmtId="49" fontId="7" fillId="5" borderId="1" xfId="0" applyNumberFormat="1" applyFont="1" applyFill="1" applyBorder="1" applyAlignment="1">
      <alignment vertical="top"/>
    </xf>
    <xf numFmtId="49" fontId="7" fillId="3" borderId="1" xfId="0" applyNumberFormat="1" applyFont="1" applyFill="1" applyBorder="1" applyAlignment="1">
      <alignment horizontal="center"/>
    </xf>
    <xf numFmtId="0" fontId="13" fillId="10"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2" fillId="11" borderId="1" xfId="0" applyFont="1" applyFill="1" applyBorder="1" applyAlignment="1">
      <alignment horizontal="left" vertical="top" wrapText="1"/>
    </xf>
    <xf numFmtId="0" fontId="1" fillId="12" borderId="1" xfId="0" applyFont="1" applyFill="1" applyBorder="1" applyAlignment="1">
      <alignment horizontal="left" vertical="top" wrapText="1"/>
    </xf>
    <xf numFmtId="0" fontId="1" fillId="13" borderId="1" xfId="0" applyFont="1" applyFill="1" applyBorder="1" applyAlignment="1">
      <alignment horizontal="left" vertical="top" wrapText="1"/>
    </xf>
    <xf numFmtId="0" fontId="1" fillId="14" borderId="1" xfId="0" applyFont="1" applyFill="1" applyBorder="1" applyAlignment="1">
      <alignment horizontal="left" vertical="top" wrapText="1"/>
    </xf>
    <xf numFmtId="0" fontId="1" fillId="15" borderId="1" xfId="0" applyFont="1" applyFill="1" applyBorder="1" applyAlignment="1">
      <alignment horizontal="left" vertical="top" wrapText="1"/>
    </xf>
    <xf numFmtId="0" fontId="1" fillId="16" borderId="1" xfId="0" applyFont="1" applyFill="1" applyBorder="1" applyAlignment="1">
      <alignment horizontal="left" vertical="top" wrapText="1"/>
    </xf>
    <xf numFmtId="0" fontId="13" fillId="17"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 fillId="18" borderId="1" xfId="0" applyFont="1" applyFill="1" applyBorder="1" applyAlignment="1">
      <alignment horizontal="left" vertical="top" wrapText="1"/>
    </xf>
    <xf numFmtId="0" fontId="1" fillId="18" borderId="1" xfId="0" applyFont="1" applyFill="1" applyBorder="1" applyAlignment="1">
      <alignment horizontal="center" vertical="center" textRotation="90" wrapText="1"/>
    </xf>
    <xf numFmtId="0" fontId="2" fillId="19"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3" borderId="1" xfId="0" applyFont="1" applyFill="1" applyBorder="1" applyAlignment="1">
      <alignment horizontal="left" vertical="top"/>
    </xf>
    <xf numFmtId="0" fontId="13" fillId="3" borderId="1" xfId="0" applyFont="1" applyFill="1" applyBorder="1" applyAlignment="1">
      <alignment horizontal="left" vertical="top" wrapText="1"/>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3" fillId="17" borderId="1" xfId="0" applyFont="1" applyFill="1" applyBorder="1" applyAlignment="1">
      <alignment horizontal="center" vertical="top" wrapText="1"/>
    </xf>
    <xf numFmtId="0" fontId="13" fillId="3" borderId="1" xfId="0" applyFont="1" applyFill="1" applyBorder="1" applyAlignment="1">
      <alignment horizontal="center" vertical="top" wrapText="1"/>
    </xf>
    <xf numFmtId="0" fontId="13" fillId="20" borderId="1" xfId="0" applyFont="1" applyFill="1" applyBorder="1" applyAlignment="1">
      <alignment horizontal="center" vertical="center" wrapText="1"/>
    </xf>
    <xf numFmtId="0" fontId="11" fillId="21" borderId="1" xfId="0" applyFont="1" applyFill="1" applyBorder="1" applyAlignment="1">
      <alignment horizontal="right" vertical="center"/>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2" fillId="4" borderId="1" xfId="0" applyFont="1" applyFill="1" applyBorder="1"/>
    <xf numFmtId="0" fontId="14" fillId="22" borderId="1" xfId="0" applyFont="1" applyFill="1" applyBorder="1" applyAlignment="1">
      <alignment horizontal="left" vertical="center" wrapText="1"/>
    </xf>
    <xf numFmtId="0" fontId="15" fillId="22" borderId="1" xfId="0" applyFont="1" applyFill="1" applyBorder="1" applyAlignment="1">
      <alignment horizontal="left" vertical="center" wrapText="1"/>
    </xf>
    <xf numFmtId="0" fontId="1" fillId="22" borderId="1" xfId="0" applyFont="1" applyFill="1" applyBorder="1" applyAlignment="1">
      <alignment horizontal="center" vertical="center"/>
    </xf>
    <xf numFmtId="0" fontId="14" fillId="23" borderId="1" xfId="0" applyFont="1" applyFill="1" applyBorder="1" applyAlignment="1">
      <alignment horizontal="left" vertical="center" wrapText="1"/>
    </xf>
    <xf numFmtId="0" fontId="15" fillId="23" borderId="1" xfId="0" applyFont="1" applyFill="1" applyBorder="1" applyAlignment="1">
      <alignment horizontal="left" vertical="center" wrapText="1"/>
    </xf>
    <xf numFmtId="0" fontId="1" fillId="23" borderId="1" xfId="0" applyFont="1" applyFill="1" applyBorder="1" applyAlignment="1">
      <alignment horizontal="center" vertical="center"/>
    </xf>
    <xf numFmtId="0" fontId="14" fillId="18" borderId="1" xfId="0" applyFont="1" applyFill="1" applyBorder="1" applyAlignment="1">
      <alignment horizontal="left" vertical="center" wrapText="1"/>
    </xf>
    <xf numFmtId="0" fontId="15" fillId="18" borderId="1" xfId="0" applyFont="1" applyFill="1" applyBorder="1" applyAlignment="1">
      <alignment horizontal="left" vertical="center" wrapText="1"/>
    </xf>
    <xf numFmtId="0" fontId="1" fillId="18" borderId="1" xfId="0" applyFont="1" applyFill="1" applyBorder="1" applyAlignment="1">
      <alignment horizontal="center" vertical="center"/>
    </xf>
    <xf numFmtId="0" fontId="1" fillId="23" borderId="1" xfId="0" applyFont="1" applyFill="1" applyBorder="1" applyAlignment="1">
      <alignment horizontal="left" vertical="center" wrapText="1"/>
    </xf>
    <xf numFmtId="0" fontId="7" fillId="3" borderId="1" xfId="0" applyFont="1" applyFill="1" applyBorder="1" applyAlignment="1">
      <alignment horizontal="left"/>
    </xf>
    <xf numFmtId="0" fontId="7" fillId="5" borderId="1" xfId="0" applyFont="1" applyFill="1" applyBorder="1" applyAlignment="1">
      <alignment horizontal="left"/>
    </xf>
    <xf numFmtId="0" fontId="7" fillId="5" borderId="1" xfId="0" applyFont="1" applyFill="1" applyBorder="1" applyAlignment="1">
      <alignment horizontal="left" wrapText="1"/>
    </xf>
    <xf numFmtId="0" fontId="1" fillId="3" borderId="1" xfId="0" applyFont="1" applyFill="1" applyBorder="1" applyAlignment="1">
      <alignment horizontal="right" vertical="top"/>
    </xf>
    <xf numFmtId="0" fontId="14" fillId="10" borderId="1" xfId="0" applyFont="1" applyFill="1" applyBorder="1" applyAlignment="1">
      <alignment horizontal="left" vertical="center"/>
    </xf>
    <xf numFmtId="0" fontId="1" fillId="10" borderId="1" xfId="0" applyFont="1" applyFill="1" applyBorder="1" applyAlignment="1">
      <alignment vertical="center" wrapText="1"/>
    </xf>
    <xf numFmtId="0" fontId="16" fillId="6" borderId="1" xfId="0" applyFont="1" applyFill="1" applyBorder="1" applyAlignment="1">
      <alignment wrapText="1"/>
    </xf>
    <xf numFmtId="49" fontId="2" fillId="10" borderId="1" xfId="0" applyNumberFormat="1" applyFont="1" applyFill="1" applyBorder="1" applyAlignment="1">
      <alignment wrapText="1"/>
    </xf>
    <xf numFmtId="0" fontId="17" fillId="9" borderId="1" xfId="0" applyFont="1" applyFill="1" applyBorder="1" applyAlignment="1">
      <alignment horizontal="left" vertical="top" wrapText="1"/>
    </xf>
    <xf numFmtId="0" fontId="17" fillId="24" borderId="1" xfId="0" applyFont="1" applyFill="1" applyBorder="1" applyAlignment="1">
      <alignment horizontal="left" wrapText="1"/>
    </xf>
    <xf numFmtId="0" fontId="16" fillId="25" borderId="1" xfId="0" applyFont="1" applyFill="1" applyBorder="1" applyAlignment="1">
      <alignment wrapText="1"/>
    </xf>
    <xf numFmtId="0" fontId="16" fillId="26" borderId="1" xfId="0" applyFont="1" applyFill="1" applyBorder="1" applyAlignment="1">
      <alignment wrapText="1"/>
    </xf>
    <xf numFmtId="0" fontId="16" fillId="27" borderId="1" xfId="0" applyFont="1" applyFill="1" applyBorder="1" applyAlignment="1">
      <alignment wrapText="1"/>
    </xf>
    <xf numFmtId="0" fontId="16" fillId="24" borderId="1" xfId="0" applyFont="1" applyFill="1" applyBorder="1" applyAlignment="1">
      <alignment wrapText="1"/>
    </xf>
    <xf numFmtId="0" fontId="17" fillId="9" borderId="1" xfId="0" applyFont="1" applyFill="1" applyBorder="1" applyAlignment="1">
      <alignment horizontal="left"/>
    </xf>
    <xf numFmtId="0" fontId="18" fillId="9" borderId="1" xfId="0" applyFont="1" applyFill="1" applyBorder="1"/>
    <xf numFmtId="0" fontId="17" fillId="9" borderId="1" xfId="0" applyFont="1" applyFill="1" applyBorder="1" applyAlignment="1">
      <alignment horizontal="left" wrapText="1"/>
    </xf>
    <xf numFmtId="0" fontId="20" fillId="5" borderId="1" xfId="0" applyFont="1" applyFill="1" applyBorder="1" applyAlignment="1">
      <alignment horizontal="center" vertical="top"/>
    </xf>
    <xf numFmtId="0" fontId="16" fillId="5" borderId="11" xfId="0" applyFont="1" applyFill="1" applyBorder="1" applyAlignment="1">
      <alignment vertical="top"/>
    </xf>
    <xf numFmtId="0" fontId="13" fillId="17" borderId="1" xfId="0" applyFont="1" applyFill="1" applyBorder="1" applyAlignment="1">
      <alignment horizontal="center" vertical="center"/>
    </xf>
    <xf numFmtId="0" fontId="11" fillId="9" borderId="1" xfId="0" applyFont="1" applyFill="1" applyBorder="1" applyAlignment="1">
      <alignment horizontal="center" vertical="center"/>
    </xf>
    <xf numFmtId="0" fontId="13" fillId="3" borderId="1" xfId="0" applyFont="1" applyFill="1" applyBorder="1" applyAlignment="1">
      <alignment horizontal="center" vertical="center"/>
    </xf>
    <xf numFmtId="0" fontId="24" fillId="12" borderId="1" xfId="0" applyFont="1" applyFill="1" applyBorder="1" applyAlignment="1">
      <alignment horizontal="left" vertical="top" wrapText="1"/>
    </xf>
    <xf numFmtId="0" fontId="24" fillId="13" borderId="1" xfId="0" applyFont="1" applyFill="1" applyBorder="1" applyAlignment="1">
      <alignment horizontal="left" vertical="top" wrapText="1"/>
    </xf>
    <xf numFmtId="0" fontId="24" fillId="14" borderId="1" xfId="0" applyFont="1" applyFill="1" applyBorder="1" applyAlignment="1">
      <alignment horizontal="left" vertical="top" wrapText="1"/>
    </xf>
    <xf numFmtId="0" fontId="24" fillId="16" borderId="1" xfId="0" applyFont="1" applyFill="1" applyBorder="1" applyAlignment="1">
      <alignment horizontal="left" vertical="top" wrapText="1"/>
    </xf>
    <xf numFmtId="0" fontId="24" fillId="15" borderId="1" xfId="0" applyFont="1" applyFill="1" applyBorder="1" applyAlignment="1">
      <alignment horizontal="left" vertical="top" wrapText="1"/>
    </xf>
    <xf numFmtId="0" fontId="1" fillId="2" borderId="0" xfId="0" applyFont="1" applyFill="1"/>
    <xf numFmtId="0" fontId="1" fillId="3" borderId="0" xfId="0" applyFont="1" applyFill="1"/>
    <xf numFmtId="0" fontId="1" fillId="18" borderId="0" xfId="0" applyFont="1" applyFill="1" applyAlignment="1">
      <alignment horizontal="center" vertical="center" textRotation="90" wrapText="1"/>
    </xf>
    <xf numFmtId="0" fontId="13" fillId="3" borderId="0" xfId="0" applyFont="1" applyFill="1" applyAlignment="1">
      <alignment horizontal="center" vertical="center" wrapText="1"/>
    </xf>
    <xf numFmtId="0" fontId="13" fillId="17" borderId="0" xfId="0" applyFont="1" applyFill="1" applyAlignment="1">
      <alignment horizontal="center" vertical="center" wrapText="1"/>
    </xf>
    <xf numFmtId="0" fontId="11" fillId="9" borderId="0" xfId="0" applyFont="1" applyFill="1" applyAlignment="1">
      <alignment horizontal="center" vertical="center" wrapText="1"/>
    </xf>
    <xf numFmtId="0" fontId="26" fillId="14" borderId="1" xfId="0" applyFont="1" applyFill="1" applyBorder="1" applyAlignment="1">
      <alignment horizontal="left" vertical="top" wrapText="1"/>
    </xf>
    <xf numFmtId="0" fontId="26" fillId="16" borderId="1" xfId="0" applyFont="1" applyFill="1" applyBorder="1" applyAlignment="1">
      <alignment horizontal="left" vertical="top" wrapText="1"/>
    </xf>
    <xf numFmtId="0" fontId="26" fillId="12" borderId="1" xfId="0" applyFont="1" applyFill="1" applyBorder="1" applyAlignment="1">
      <alignment horizontal="left" vertical="top" wrapText="1"/>
    </xf>
    <xf numFmtId="49" fontId="24" fillId="9" borderId="1" xfId="0" applyNumberFormat="1" applyFont="1" applyFill="1" applyBorder="1"/>
    <xf numFmtId="0" fontId="26" fillId="34" borderId="0" xfId="0" applyFont="1" applyFill="1" applyAlignment="1">
      <alignment horizontal="left" vertical="top" wrapText="1"/>
    </xf>
    <xf numFmtId="0" fontId="26" fillId="11" borderId="1" xfId="0" applyFont="1" applyFill="1" applyBorder="1" applyAlignment="1">
      <alignment horizontal="left" vertical="top" wrapText="1"/>
    </xf>
    <xf numFmtId="0" fontId="26" fillId="13" borderId="1" xfId="0" applyFont="1" applyFill="1" applyBorder="1" applyAlignment="1">
      <alignment horizontal="left" vertical="top" wrapText="1"/>
    </xf>
    <xf numFmtId="0" fontId="26" fillId="32" borderId="0" xfId="0" applyFont="1" applyFill="1" applyAlignment="1">
      <alignment horizontal="left" vertical="top" wrapText="1"/>
    </xf>
    <xf numFmtId="0" fontId="26" fillId="19" borderId="0" xfId="0" applyFont="1" applyFill="1" applyAlignment="1">
      <alignment horizontal="left" vertical="top" wrapText="1"/>
    </xf>
    <xf numFmtId="0" fontId="26" fillId="33" borderId="0" xfId="0" applyFont="1" applyFill="1" applyAlignment="1">
      <alignment horizontal="left" vertical="top" wrapText="1"/>
    </xf>
    <xf numFmtId="0" fontId="26" fillId="35" borderId="0" xfId="0" applyFont="1" applyFill="1" applyAlignment="1">
      <alignment horizontal="left" vertical="top" wrapText="1"/>
    </xf>
    <xf numFmtId="0" fontId="26" fillId="16" borderId="0" xfId="0" applyFont="1" applyFill="1" applyAlignment="1">
      <alignment horizontal="left" vertical="top" wrapText="1"/>
    </xf>
    <xf numFmtId="0" fontId="2" fillId="15" borderId="1" xfId="0" applyFont="1" applyFill="1" applyBorder="1" applyAlignment="1">
      <alignment horizontal="left" vertical="top" wrapText="1"/>
    </xf>
    <xf numFmtId="0" fontId="26" fillId="9" borderId="1" xfId="0" applyFont="1" applyFill="1" applyBorder="1" applyAlignment="1">
      <alignment horizontal="left" vertical="top" wrapText="1"/>
    </xf>
    <xf numFmtId="0" fontId="4" fillId="0" borderId="1" xfId="0" applyFont="1" applyBorder="1" applyAlignment="1">
      <alignment wrapText="1"/>
    </xf>
    <xf numFmtId="0" fontId="1" fillId="9" borderId="1" xfId="0" applyFont="1" applyFill="1" applyBorder="1" applyAlignment="1">
      <alignment horizontal="left" vertical="top" wrapText="1"/>
    </xf>
    <xf numFmtId="0" fontId="4" fillId="0" borderId="1" xfId="0" applyFont="1" applyBorder="1"/>
    <xf numFmtId="0" fontId="14" fillId="18" borderId="1" xfId="0" applyFont="1" applyFill="1" applyBorder="1" applyAlignment="1">
      <alignment vertical="center" wrapText="1"/>
    </xf>
    <xf numFmtId="0" fontId="14" fillId="23" borderId="1" xfId="0" applyFont="1" applyFill="1" applyBorder="1" applyAlignment="1">
      <alignment vertical="center" wrapText="1"/>
    </xf>
    <xf numFmtId="0" fontId="14" fillId="18" borderId="1" xfId="0" applyFont="1" applyFill="1" applyBorder="1" applyAlignment="1">
      <alignment horizontal="left" vertical="center" wrapText="1"/>
    </xf>
    <xf numFmtId="0" fontId="25" fillId="10" borderId="1" xfId="0" applyFont="1" applyFill="1" applyBorder="1" applyAlignment="1">
      <alignment horizontal="left" vertical="center" wrapText="1"/>
    </xf>
    <xf numFmtId="0" fontId="11" fillId="3" borderId="1" xfId="0" applyFont="1" applyFill="1" applyBorder="1" applyAlignment="1">
      <alignment horizontal="right" vertical="center"/>
    </xf>
    <xf numFmtId="0" fontId="15" fillId="18" borderId="1" xfId="0" applyFont="1" applyFill="1" applyBorder="1" applyAlignment="1">
      <alignment horizontal="left" vertical="center" wrapText="1"/>
    </xf>
    <xf numFmtId="0" fontId="15" fillId="23" borderId="1" xfId="0" applyFont="1" applyFill="1" applyBorder="1" applyAlignment="1">
      <alignment horizontal="left" vertical="center" wrapText="1"/>
    </xf>
    <xf numFmtId="0" fontId="15" fillId="22" borderId="1" xfId="0" applyFont="1" applyFill="1" applyBorder="1" applyAlignment="1">
      <alignment horizontal="left" vertical="center" wrapText="1"/>
    </xf>
    <xf numFmtId="0" fontId="3" fillId="3" borderId="1" xfId="0" applyFont="1" applyFill="1" applyBorder="1"/>
    <xf numFmtId="0" fontId="7" fillId="5" borderId="1" xfId="0" applyFont="1" applyFill="1" applyBorder="1" applyAlignment="1">
      <alignment vertical="top"/>
    </xf>
    <xf numFmtId="0" fontId="1" fillId="0" borderId="0" xfId="0" applyFont="1" applyAlignment="1">
      <alignment horizontal="center" vertical="center" textRotation="90" wrapText="1"/>
    </xf>
    <xf numFmtId="0" fontId="0" fillId="0" borderId="0" xfId="0"/>
    <xf numFmtId="0" fontId="1" fillId="0" borderId="0" xfId="0" applyFont="1" applyAlignment="1">
      <alignment horizontal="left" vertical="top" wrapText="1"/>
    </xf>
    <xf numFmtId="0" fontId="9" fillId="8" borderId="1" xfId="0" applyFont="1" applyFill="1" applyBorder="1" applyAlignment="1">
      <alignment horizontal="center" vertical="center" textRotation="90"/>
    </xf>
    <xf numFmtId="0" fontId="10" fillId="0" borderId="0" xfId="0" applyFont="1" applyAlignment="1">
      <alignment horizontal="center" vertical="center"/>
    </xf>
    <xf numFmtId="0" fontId="7" fillId="5" borderId="1" xfId="0" applyFont="1" applyFill="1" applyBorder="1" applyAlignment="1">
      <alignment horizontal="right"/>
    </xf>
    <xf numFmtId="0" fontId="25" fillId="18" borderId="1" xfId="0" applyFont="1" applyFill="1" applyBorder="1" applyAlignment="1">
      <alignment horizontal="left" vertical="top" wrapText="1"/>
    </xf>
    <xf numFmtId="0" fontId="6" fillId="4" borderId="1" xfId="0" applyFont="1" applyFill="1" applyBorder="1" applyAlignment="1">
      <alignment horizontal="right"/>
    </xf>
    <xf numFmtId="0" fontId="7" fillId="5" borderId="1" xfId="0" applyFont="1" applyFill="1" applyBorder="1" applyAlignment="1">
      <alignment horizontal="center" vertical="top"/>
    </xf>
    <xf numFmtId="0" fontId="24" fillId="7" borderId="1" xfId="0" applyFont="1" applyFill="1" applyBorder="1" applyAlignment="1">
      <alignment horizontal="left" vertical="top" wrapText="1"/>
    </xf>
    <xf numFmtId="49" fontId="1" fillId="6" borderId="1" xfId="0" applyNumberFormat="1" applyFont="1" applyFill="1" applyBorder="1" applyAlignment="1">
      <alignment horizontal="left" vertical="top" wrapText="1"/>
    </xf>
    <xf numFmtId="0" fontId="11" fillId="0" borderId="0" xfId="0" applyFont="1" applyAlignment="1">
      <alignment horizontal="center" vertical="center"/>
    </xf>
    <xf numFmtId="0" fontId="7" fillId="5" borderId="1" xfId="0" applyFont="1" applyFill="1" applyBorder="1" applyAlignment="1">
      <alignment horizontal="right" vertical="top"/>
    </xf>
    <xf numFmtId="0" fontId="1" fillId="0" borderId="0" xfId="0" applyFont="1" applyAlignment="1">
      <alignment vertical="center" wrapText="1"/>
    </xf>
    <xf numFmtId="0" fontId="1" fillId="10" borderId="1" xfId="0" applyFont="1" applyFill="1" applyBorder="1" applyAlignment="1">
      <alignment vertical="center" wrapText="1"/>
    </xf>
    <xf numFmtId="0" fontId="7" fillId="5" borderId="1" xfId="0" applyFont="1" applyFill="1" applyBorder="1" applyAlignment="1">
      <alignment horizontal="left" wrapText="1"/>
    </xf>
    <xf numFmtId="0" fontId="14" fillId="22" borderId="1" xfId="0" applyFont="1" applyFill="1" applyBorder="1" applyAlignment="1">
      <alignment vertical="center" wrapText="1"/>
    </xf>
    <xf numFmtId="0" fontId="25" fillId="18" borderId="0" xfId="0" applyFont="1" applyFill="1" applyAlignment="1">
      <alignment horizontal="left" vertical="center" wrapText="1"/>
    </xf>
    <xf numFmtId="0" fontId="4" fillId="0" borderId="0" xfId="0" applyFont="1"/>
    <xf numFmtId="0" fontId="24" fillId="0" borderId="0" xfId="0" applyFont="1" applyAlignment="1">
      <alignment horizontal="left" vertical="top" wrapText="1"/>
    </xf>
    <xf numFmtId="49" fontId="2" fillId="10" borderId="1" xfId="0" applyNumberFormat="1" applyFont="1" applyFill="1" applyBorder="1" applyAlignment="1">
      <alignment wrapText="1"/>
    </xf>
    <xf numFmtId="49" fontId="2" fillId="28" borderId="1" xfId="0" applyNumberFormat="1" applyFont="1" applyFill="1" applyBorder="1" applyAlignment="1">
      <alignment wrapText="1"/>
    </xf>
    <xf numFmtId="0" fontId="14" fillId="10" borderId="1" xfId="0" applyFont="1" applyFill="1" applyBorder="1" applyAlignment="1">
      <alignment vertical="top" wrapText="1"/>
    </xf>
    <xf numFmtId="0" fontId="19" fillId="29" borderId="2" xfId="0" applyFont="1" applyFill="1" applyBorder="1" applyAlignment="1">
      <alignment horizontal="center"/>
    </xf>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20" fillId="5" borderId="5" xfId="0" applyFont="1" applyFill="1" applyBorder="1" applyAlignment="1">
      <alignment horizontal="left" vertical="top"/>
    </xf>
    <xf numFmtId="0" fontId="20" fillId="5" borderId="10" xfId="0" applyFont="1" applyFill="1" applyBorder="1" applyAlignment="1">
      <alignment horizontal="center" vertical="top"/>
    </xf>
    <xf numFmtId="0" fontId="20" fillId="5" borderId="1" xfId="0" applyFont="1" applyFill="1" applyBorder="1" applyAlignment="1">
      <alignment horizontal="center" vertical="top"/>
    </xf>
  </cellXfs>
  <cellStyles count="1">
    <cellStyle name="Normal" xfId="0" builtinId="0"/>
  </cellStyles>
  <dxfs count="22">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2"/>
  <sheetViews>
    <sheetView showGridLines="0" tabSelected="1" topLeftCell="H1" zoomScale="103" zoomScaleNormal="55" workbookViewId="0">
      <pane ySplit="10" topLeftCell="A25" activePane="bottomLeft" state="frozen"/>
      <selection pane="bottomLeft" activeCell="J4" sqref="J4:K8"/>
    </sheetView>
  </sheetViews>
  <sheetFormatPr defaultColWidth="12.54296875" defaultRowHeight="15" customHeight="1" x14ac:dyDescent="0.25"/>
  <cols>
    <col min="1" max="1" width="3.453125" customWidth="1"/>
    <col min="2" max="2" width="12.453125" customWidth="1"/>
    <col min="3" max="3" width="5.453125" customWidth="1"/>
    <col min="4" max="4" width="27" customWidth="1"/>
    <col min="5" max="5" width="22.90625" customWidth="1"/>
    <col min="6" max="6" width="27.453125" customWidth="1"/>
    <col min="7" max="7" width="23.453125" customWidth="1"/>
    <col min="8" max="8" width="29.90625" customWidth="1"/>
    <col min="9" max="9" width="33.08984375" customWidth="1"/>
    <col min="10" max="11" width="36.90625" customWidth="1"/>
    <col min="12" max="12" width="6.90625" customWidth="1"/>
    <col min="13" max="13" width="17.08984375" customWidth="1"/>
    <col min="14" max="16" width="6.90625" customWidth="1"/>
    <col min="17" max="26" width="14.453125" customWidth="1"/>
  </cols>
  <sheetData>
    <row r="1" spans="1:26" ht="12.75" customHeight="1" x14ac:dyDescent="0.3">
      <c r="A1" s="37"/>
      <c r="B1" s="37"/>
      <c r="C1" s="37"/>
      <c r="D1" s="37"/>
      <c r="E1" s="37"/>
      <c r="F1" s="37"/>
      <c r="G1" s="37"/>
      <c r="H1" s="37"/>
      <c r="I1" s="37"/>
      <c r="J1" s="37"/>
      <c r="K1" s="37"/>
      <c r="L1" s="37"/>
      <c r="M1" s="37"/>
      <c r="N1" s="37"/>
      <c r="O1" s="37"/>
      <c r="P1" s="37"/>
      <c r="Q1" s="1"/>
      <c r="R1" s="1"/>
      <c r="S1" s="1"/>
      <c r="T1" s="1"/>
      <c r="U1" s="1"/>
      <c r="V1" s="1"/>
      <c r="W1" s="1"/>
      <c r="X1" s="1"/>
      <c r="Y1" s="1"/>
      <c r="Z1" s="1"/>
    </row>
    <row r="2" spans="1:26" ht="15.75" customHeight="1" x14ac:dyDescent="0.55000000000000004">
      <c r="A2" s="37"/>
      <c r="B2" s="38"/>
      <c r="C2" s="147" t="s">
        <v>0</v>
      </c>
      <c r="D2" s="138"/>
      <c r="E2" s="138"/>
      <c r="F2" s="38"/>
      <c r="G2" s="38"/>
      <c r="H2" s="38"/>
      <c r="I2" s="38"/>
      <c r="J2" s="38"/>
      <c r="K2" s="38"/>
      <c r="L2" s="38"/>
      <c r="M2" s="38"/>
      <c r="N2" s="38"/>
      <c r="O2" s="38"/>
      <c r="P2" s="37"/>
      <c r="Q2" s="1"/>
      <c r="R2" s="1"/>
      <c r="S2" s="1"/>
      <c r="T2" s="1"/>
      <c r="U2" s="1"/>
      <c r="V2" s="1"/>
      <c r="W2" s="1"/>
      <c r="X2" s="1"/>
      <c r="Y2" s="1"/>
      <c r="Z2" s="1"/>
    </row>
    <row r="3" spans="1:26" ht="14.25" customHeight="1" x14ac:dyDescent="0.3">
      <c r="A3" s="39"/>
      <c r="B3" s="40"/>
      <c r="C3" s="156"/>
      <c r="D3" s="138"/>
      <c r="E3" s="41" t="s">
        <v>1</v>
      </c>
      <c r="F3" s="42" t="s">
        <v>2</v>
      </c>
      <c r="G3" s="42"/>
      <c r="H3" s="43"/>
      <c r="I3" s="43"/>
      <c r="J3" s="148" t="s">
        <v>3</v>
      </c>
      <c r="K3" s="138"/>
      <c r="L3" s="157" t="s">
        <v>4</v>
      </c>
      <c r="M3" s="138"/>
      <c r="N3" s="138"/>
      <c r="O3" s="40"/>
      <c r="P3" s="39"/>
      <c r="Q3" s="2"/>
      <c r="R3" s="2"/>
      <c r="S3" s="2"/>
      <c r="T3" s="2"/>
      <c r="U3" s="2"/>
      <c r="V3" s="2"/>
      <c r="W3" s="2"/>
      <c r="X3" s="2"/>
      <c r="Y3" s="2"/>
      <c r="Z3" s="2"/>
    </row>
    <row r="4" spans="1:26" ht="12.75" customHeight="1" x14ac:dyDescent="0.3">
      <c r="A4" s="37"/>
      <c r="B4" s="45"/>
      <c r="C4" s="154" t="s">
        <v>5</v>
      </c>
      <c r="D4" s="138"/>
      <c r="E4" s="46" t="s">
        <v>209</v>
      </c>
      <c r="F4" s="158"/>
      <c r="G4" s="138"/>
      <c r="H4" s="138"/>
      <c r="I4" s="138"/>
      <c r="J4" s="159" t="s">
        <v>211</v>
      </c>
      <c r="K4" s="138"/>
      <c r="L4" s="152" t="s">
        <v>6</v>
      </c>
      <c r="M4" s="153">
        <f>IF(ROUND((N24/10),1)&lt;&gt;ROUND((N24/10),0),ROUND((N24/10),1),ROUND((N24/10),0))</f>
        <v>9.1999999999999993</v>
      </c>
      <c r="N4" s="160" t="str">
        <f>IF(M4&gt;=5.5,"PASS",IF(M4&gt;0,"FAIL","M/O"))</f>
        <v>PASS</v>
      </c>
      <c r="O4" s="38"/>
      <c r="P4" s="37"/>
      <c r="Q4" s="1"/>
      <c r="R4" s="1"/>
      <c r="S4" s="1"/>
      <c r="T4" s="1"/>
      <c r="U4" s="1"/>
      <c r="V4" s="1"/>
      <c r="W4" s="1"/>
      <c r="X4" s="1"/>
      <c r="Y4" s="1"/>
      <c r="Z4" s="1"/>
    </row>
    <row r="5" spans="1:26" ht="12.75" customHeight="1" x14ac:dyDescent="0.3">
      <c r="A5" s="37"/>
      <c r="B5" s="45"/>
      <c r="C5" s="154" t="s">
        <v>7</v>
      </c>
      <c r="D5" s="138"/>
      <c r="E5" s="46" t="s">
        <v>210</v>
      </c>
      <c r="F5" s="138"/>
      <c r="G5" s="150"/>
      <c r="H5" s="150"/>
      <c r="I5" s="138"/>
      <c r="J5" s="138"/>
      <c r="K5" s="138"/>
      <c r="L5" s="138"/>
      <c r="M5" s="150"/>
      <c r="N5" s="150"/>
      <c r="O5" s="38"/>
      <c r="P5" s="37"/>
      <c r="Q5" s="1"/>
      <c r="R5" s="1"/>
      <c r="S5" s="1"/>
      <c r="T5" s="1"/>
      <c r="U5" s="1"/>
      <c r="V5" s="1"/>
      <c r="W5" s="1"/>
      <c r="X5" s="1"/>
      <c r="Y5" s="1"/>
      <c r="Z5" s="1"/>
    </row>
    <row r="6" spans="1:26" ht="15.75" customHeight="1" x14ac:dyDescent="0.3">
      <c r="A6" s="37"/>
      <c r="B6" s="45"/>
      <c r="C6" s="154" t="s">
        <v>8</v>
      </c>
      <c r="D6" s="138"/>
      <c r="E6" s="47" t="s">
        <v>9</v>
      </c>
      <c r="F6" s="138"/>
      <c r="G6" s="150"/>
      <c r="H6" s="150"/>
      <c r="I6" s="138"/>
      <c r="J6" s="138"/>
      <c r="K6" s="138"/>
      <c r="L6" s="138"/>
      <c r="M6" s="150"/>
      <c r="N6" s="150"/>
      <c r="O6" s="38"/>
      <c r="P6" s="37"/>
      <c r="Q6" s="1"/>
      <c r="R6" s="1"/>
      <c r="S6" s="1"/>
      <c r="T6" s="1"/>
      <c r="U6" s="1"/>
      <c r="V6" s="1"/>
      <c r="W6" s="1"/>
      <c r="X6" s="1"/>
      <c r="Y6" s="1"/>
      <c r="Z6" s="1"/>
    </row>
    <row r="7" spans="1:26" ht="15.75" customHeight="1" x14ac:dyDescent="0.3">
      <c r="A7" s="37"/>
      <c r="B7" s="45"/>
      <c r="C7" s="154" t="s">
        <v>10</v>
      </c>
      <c r="D7" s="138"/>
      <c r="E7" s="125" t="s">
        <v>11</v>
      </c>
      <c r="F7" s="138"/>
      <c r="G7" s="150"/>
      <c r="H7" s="150"/>
      <c r="I7" s="138"/>
      <c r="J7" s="138"/>
      <c r="K7" s="138"/>
      <c r="L7" s="138"/>
      <c r="M7" s="150"/>
      <c r="N7" s="150"/>
      <c r="O7" s="38"/>
      <c r="P7" s="37"/>
      <c r="Q7" s="1"/>
      <c r="R7" s="1"/>
      <c r="S7" s="1"/>
      <c r="T7" s="1"/>
      <c r="U7" s="1"/>
      <c r="V7" s="1"/>
      <c r="W7" s="1"/>
      <c r="X7" s="1"/>
      <c r="Y7" s="1"/>
      <c r="Z7" s="1"/>
    </row>
    <row r="8" spans="1:26" ht="27.75" customHeight="1" x14ac:dyDescent="0.3">
      <c r="A8" s="37"/>
      <c r="B8" s="45"/>
      <c r="C8" s="161" t="s">
        <v>12</v>
      </c>
      <c r="D8" s="138"/>
      <c r="E8" s="49"/>
      <c r="F8" s="138"/>
      <c r="G8" s="138"/>
      <c r="H8" s="138"/>
      <c r="I8" s="138"/>
      <c r="J8" s="138"/>
      <c r="K8" s="138"/>
      <c r="L8" s="138"/>
      <c r="M8" s="150"/>
      <c r="N8" s="150"/>
      <c r="O8" s="38"/>
      <c r="P8" s="37"/>
      <c r="Q8" s="1"/>
      <c r="R8" s="1"/>
      <c r="S8" s="1"/>
      <c r="T8" s="1"/>
      <c r="U8" s="1"/>
      <c r="V8" s="1"/>
      <c r="W8" s="1"/>
      <c r="X8" s="1"/>
      <c r="Y8" s="1"/>
      <c r="Z8" s="1"/>
    </row>
    <row r="9" spans="1:26" ht="15.75" customHeight="1" x14ac:dyDescent="0.3">
      <c r="A9" s="37"/>
      <c r="B9" s="38"/>
      <c r="C9" s="38"/>
      <c r="D9" s="38"/>
      <c r="E9" s="38"/>
      <c r="F9" s="38"/>
      <c r="G9" s="38"/>
      <c r="H9" s="38"/>
      <c r="I9" s="38"/>
      <c r="J9" s="38"/>
      <c r="K9" s="38"/>
      <c r="L9" s="38"/>
      <c r="M9" s="38"/>
      <c r="N9" s="38"/>
      <c r="O9" s="38"/>
      <c r="P9" s="37"/>
      <c r="Q9" s="1"/>
      <c r="R9" s="1"/>
      <c r="S9" s="1"/>
      <c r="T9" s="1"/>
      <c r="U9" s="1"/>
      <c r="V9" s="1"/>
      <c r="W9" s="1"/>
      <c r="X9" s="1"/>
      <c r="Y9" s="1"/>
      <c r="Z9" s="1"/>
    </row>
    <row r="10" spans="1:26" ht="15.75" customHeight="1" x14ac:dyDescent="0.3">
      <c r="A10" s="37"/>
      <c r="B10" s="37"/>
      <c r="C10" s="37"/>
      <c r="D10" s="37"/>
      <c r="E10" s="37"/>
      <c r="F10" s="37"/>
      <c r="G10" s="37"/>
      <c r="H10" s="37"/>
      <c r="I10" s="37"/>
      <c r="J10" s="37"/>
      <c r="K10" s="37"/>
      <c r="L10" s="37"/>
      <c r="M10" s="37"/>
      <c r="N10" s="37"/>
      <c r="O10" s="37"/>
      <c r="P10" s="37"/>
      <c r="Q10" s="1"/>
      <c r="R10" s="1"/>
      <c r="S10" s="1"/>
      <c r="T10" s="1"/>
      <c r="U10" s="1"/>
      <c r="V10" s="1"/>
      <c r="W10" s="1"/>
      <c r="X10" s="1"/>
      <c r="Y10" s="1"/>
      <c r="Z10" s="1"/>
    </row>
    <row r="11" spans="1:26" ht="15.75" customHeight="1" x14ac:dyDescent="0.55000000000000004">
      <c r="A11" s="37"/>
      <c r="B11" s="38"/>
      <c r="C11" s="147" t="s">
        <v>13</v>
      </c>
      <c r="D11" s="138"/>
      <c r="E11" s="138"/>
      <c r="F11" s="38"/>
      <c r="G11" s="38"/>
      <c r="H11" s="38"/>
      <c r="I11" s="38"/>
      <c r="J11" s="38"/>
      <c r="K11" s="38"/>
      <c r="L11" s="38"/>
      <c r="M11" s="38"/>
      <c r="N11" s="38"/>
      <c r="O11" s="38"/>
      <c r="P11" s="37"/>
      <c r="Q11" s="1"/>
      <c r="R11" s="1"/>
      <c r="S11" s="1"/>
      <c r="T11" s="1"/>
      <c r="U11" s="1"/>
      <c r="V11" s="1"/>
      <c r="W11" s="1"/>
      <c r="X11" s="1"/>
      <c r="Y11" s="1"/>
      <c r="Z11" s="1"/>
    </row>
    <row r="12" spans="1:26" ht="15.75" customHeight="1" x14ac:dyDescent="0.3">
      <c r="A12" s="37"/>
      <c r="B12" s="38"/>
      <c r="C12" s="50"/>
      <c r="D12" s="51" t="s">
        <v>14</v>
      </c>
      <c r="E12" s="52"/>
      <c r="F12" s="50" t="s">
        <v>15</v>
      </c>
      <c r="G12" s="50" t="s">
        <v>16</v>
      </c>
      <c r="H12" s="50" t="s">
        <v>17</v>
      </c>
      <c r="I12" s="50" t="s">
        <v>18</v>
      </c>
      <c r="J12" s="50" t="s">
        <v>19</v>
      </c>
      <c r="K12" s="50" t="s">
        <v>20</v>
      </c>
      <c r="L12" s="50" t="s">
        <v>21</v>
      </c>
      <c r="M12" s="50" t="s">
        <v>22</v>
      </c>
      <c r="N12" s="50" t="s">
        <v>23</v>
      </c>
      <c r="O12" s="53"/>
      <c r="P12" s="37"/>
      <c r="Q12" s="1"/>
      <c r="R12" s="1"/>
      <c r="S12" s="1"/>
      <c r="T12" s="1"/>
      <c r="U12" s="1"/>
      <c r="V12" s="1"/>
      <c r="W12" s="1"/>
      <c r="X12" s="1"/>
      <c r="Y12" s="1"/>
      <c r="Z12" s="1"/>
    </row>
    <row r="13" spans="1:26" ht="48" customHeight="1" x14ac:dyDescent="0.3">
      <c r="A13" s="37"/>
      <c r="B13" s="38"/>
      <c r="C13" s="149" t="s">
        <v>24</v>
      </c>
      <c r="D13" s="142" t="s">
        <v>25</v>
      </c>
      <c r="E13" s="138"/>
      <c r="F13" s="138"/>
      <c r="G13" s="138"/>
      <c r="H13" s="138"/>
      <c r="I13" s="138"/>
      <c r="J13" s="138"/>
      <c r="K13" s="138"/>
      <c r="L13" s="54"/>
      <c r="M13" s="54"/>
      <c r="N13" s="54"/>
      <c r="O13" s="55"/>
      <c r="P13" s="37"/>
      <c r="Q13" s="1"/>
      <c r="R13" s="1"/>
      <c r="S13" s="1"/>
      <c r="T13" s="1"/>
      <c r="U13" s="1"/>
      <c r="V13" s="1"/>
      <c r="W13" s="1"/>
      <c r="X13" s="1"/>
      <c r="Y13" s="1"/>
      <c r="Z13" s="1"/>
    </row>
    <row r="14" spans="1:26" ht="141.75" customHeight="1" x14ac:dyDescent="0.3">
      <c r="A14" s="37"/>
      <c r="B14" s="38"/>
      <c r="C14" s="150"/>
      <c r="D14" s="135" t="s">
        <v>26</v>
      </c>
      <c r="E14" s="136"/>
      <c r="F14" s="56" t="s">
        <v>27</v>
      </c>
      <c r="G14" s="124" t="s">
        <v>28</v>
      </c>
      <c r="H14" s="112" t="s">
        <v>29</v>
      </c>
      <c r="I14" s="113" t="s">
        <v>30</v>
      </c>
      <c r="J14" s="115" t="s">
        <v>31</v>
      </c>
      <c r="K14" s="114" t="s">
        <v>32</v>
      </c>
      <c r="L14" s="108">
        <v>10</v>
      </c>
      <c r="M14" s="109" t="s">
        <v>20</v>
      </c>
      <c r="N14" s="108">
        <f>IF(M14="MISSING",0,IF(M14="POOR",(L14*0.2),IF(M14="INSUFFICIENT",(L14*0.4),IF(M14="SUFFICIENT",(L14*0.6),IF(M14="GOOD",(L14*0.8),IF(M14="EXCELLENT",L14,"ERROR"))))))</f>
        <v>10</v>
      </c>
      <c r="O14" s="110"/>
      <c r="P14" s="37"/>
      <c r="Q14" s="1"/>
      <c r="R14" s="1"/>
      <c r="S14" s="1"/>
      <c r="T14" s="1"/>
      <c r="U14" s="1"/>
      <c r="V14" s="1"/>
      <c r="W14" s="1"/>
      <c r="X14" s="1"/>
      <c r="Y14" s="1"/>
      <c r="Z14" s="1"/>
    </row>
    <row r="15" spans="1:26" ht="46.5" customHeight="1" x14ac:dyDescent="0.3">
      <c r="A15" s="37"/>
      <c r="B15" s="38"/>
      <c r="C15" s="149" t="s">
        <v>33</v>
      </c>
      <c r="D15" s="155" t="s">
        <v>34</v>
      </c>
      <c r="E15" s="138"/>
      <c r="F15" s="138"/>
      <c r="G15" s="138"/>
      <c r="H15" s="138"/>
      <c r="I15" s="138"/>
      <c r="J15" s="138"/>
      <c r="K15" s="138"/>
      <c r="L15" s="64"/>
      <c r="M15" s="64"/>
      <c r="N15" s="64"/>
      <c r="O15" s="55"/>
      <c r="P15" s="37"/>
      <c r="Q15" s="1"/>
      <c r="R15" s="1"/>
      <c r="S15" s="1"/>
      <c r="T15" s="1"/>
      <c r="U15" s="1"/>
      <c r="V15" s="1"/>
      <c r="W15" s="1"/>
      <c r="X15" s="1"/>
      <c r="Y15" s="1"/>
      <c r="Z15" s="1"/>
    </row>
    <row r="16" spans="1:26" ht="133.5" customHeight="1" x14ac:dyDescent="0.3">
      <c r="A16" s="37"/>
      <c r="B16" s="38"/>
      <c r="C16" s="150"/>
      <c r="D16" s="151" t="s">
        <v>35</v>
      </c>
      <c r="E16" s="150"/>
      <c r="F16" s="56" t="s">
        <v>27</v>
      </c>
      <c r="G16" s="111" t="s">
        <v>36</v>
      </c>
      <c r="H16" s="112" t="s">
        <v>37</v>
      </c>
      <c r="I16" s="59" t="s">
        <v>38</v>
      </c>
      <c r="J16" s="115" t="s">
        <v>39</v>
      </c>
      <c r="K16" s="114" t="s">
        <v>40</v>
      </c>
      <c r="L16" s="62">
        <v>10</v>
      </c>
      <c r="M16" s="63" t="s">
        <v>20</v>
      </c>
      <c r="N16" s="62">
        <f>IF(M16="MISSING",0,IF(M16="POOR",(L16*0.2),IF(M16="INSUFFICIENT",(L16*0.4),IF(M16="SUFFICIENT",(L16*0.6),IF(M16="GOOD",(L16*0.8),IF(M16="EXCELLENT",L16,"ERROR"))))))</f>
        <v>10</v>
      </c>
      <c r="O16" s="55"/>
      <c r="P16" s="37"/>
      <c r="Q16" s="1"/>
      <c r="R16" s="1"/>
      <c r="S16" s="1"/>
      <c r="T16" s="1"/>
      <c r="U16" s="1"/>
      <c r="V16" s="1"/>
      <c r="W16" s="1"/>
      <c r="X16" s="1"/>
      <c r="Y16" s="1"/>
      <c r="Z16" s="1"/>
    </row>
    <row r="17" spans="1:26" ht="48" customHeight="1" x14ac:dyDescent="0.3">
      <c r="A17" s="37"/>
      <c r="B17" s="38"/>
      <c r="C17" s="149" t="s">
        <v>41</v>
      </c>
      <c r="D17" s="141" t="s">
        <v>208</v>
      </c>
      <c r="E17" s="138"/>
      <c r="F17" s="138"/>
      <c r="G17" s="138"/>
      <c r="H17" s="138"/>
      <c r="I17" s="138"/>
      <c r="J17" s="138"/>
      <c r="K17" s="138"/>
      <c r="L17" s="65"/>
      <c r="M17" s="65"/>
      <c r="N17" s="65"/>
      <c r="O17" s="55"/>
      <c r="P17" s="37"/>
      <c r="Q17" s="1"/>
      <c r="R17" s="1"/>
      <c r="S17" s="1"/>
      <c r="T17" s="1"/>
      <c r="U17" s="1"/>
      <c r="V17" s="1"/>
      <c r="W17" s="1"/>
      <c r="X17" s="1"/>
      <c r="Y17" s="1"/>
      <c r="Z17" s="1"/>
    </row>
    <row r="18" spans="1:26" ht="131.25" customHeight="1" x14ac:dyDescent="0.3">
      <c r="A18" s="37"/>
      <c r="B18" s="38"/>
      <c r="C18" s="150"/>
      <c r="D18" s="151" t="s">
        <v>42</v>
      </c>
      <c r="E18" s="150"/>
      <c r="F18" s="66" t="s">
        <v>43</v>
      </c>
      <c r="G18" s="57" t="s">
        <v>44</v>
      </c>
      <c r="H18" s="58" t="s">
        <v>45</v>
      </c>
      <c r="I18" s="59" t="s">
        <v>46</v>
      </c>
      <c r="J18" s="60" t="s">
        <v>47</v>
      </c>
      <c r="K18" s="61" t="s">
        <v>48</v>
      </c>
      <c r="L18" s="62">
        <v>20</v>
      </c>
      <c r="M18" s="63" t="s">
        <v>20</v>
      </c>
      <c r="N18" s="62">
        <f>IF(M18="MISSING",0,IF(M18="POOR",(L18*0.2),IF(M18="INSUFFICIENT",(L18*0.4),IF(M18="SUFFICIENT",(L18*0.6),IF(M18="GOOD",(L18*0.8),IF(M18="EXCELLENT",L18,"ERROR"))))))</f>
        <v>20</v>
      </c>
      <c r="O18" s="55"/>
      <c r="P18" s="37"/>
      <c r="Q18" s="1"/>
      <c r="R18" s="1"/>
      <c r="S18" s="1"/>
      <c r="T18" s="1"/>
      <c r="U18" s="1"/>
      <c r="V18" s="1"/>
      <c r="W18" s="1"/>
      <c r="X18" s="1"/>
      <c r="Y18" s="1"/>
      <c r="Z18" s="1"/>
    </row>
    <row r="19" spans="1:26" ht="42.75" customHeight="1" x14ac:dyDescent="0.3">
      <c r="A19" s="37"/>
      <c r="B19" s="38"/>
      <c r="C19" s="149" t="s">
        <v>41</v>
      </c>
      <c r="D19" s="142" t="s">
        <v>49</v>
      </c>
      <c r="E19" s="138"/>
      <c r="F19" s="138"/>
      <c r="G19" s="138"/>
      <c r="H19" s="138"/>
      <c r="I19" s="138"/>
      <c r="J19" s="138"/>
      <c r="K19" s="138"/>
      <c r="L19" s="54"/>
      <c r="M19" s="54"/>
      <c r="N19" s="54"/>
      <c r="O19" s="55"/>
      <c r="P19" s="37"/>
      <c r="Q19" s="1"/>
      <c r="R19" s="1"/>
      <c r="S19" s="1"/>
      <c r="T19" s="1"/>
      <c r="U19" s="1"/>
      <c r="V19" s="1"/>
      <c r="W19" s="1"/>
      <c r="X19" s="1"/>
      <c r="Y19" s="1"/>
      <c r="Z19" s="1"/>
    </row>
    <row r="20" spans="1:26" ht="162.75" customHeight="1" x14ac:dyDescent="0.25">
      <c r="A20" s="67"/>
      <c r="B20" s="68"/>
      <c r="C20" s="150"/>
      <c r="D20" s="151" t="s">
        <v>50</v>
      </c>
      <c r="E20" s="150"/>
      <c r="F20" s="127" t="s">
        <v>27</v>
      </c>
      <c r="G20" s="57" t="s">
        <v>51</v>
      </c>
      <c r="H20" s="128" t="s">
        <v>52</v>
      </c>
      <c r="I20" s="113" t="s">
        <v>53</v>
      </c>
      <c r="J20" s="134" t="s">
        <v>54</v>
      </c>
      <c r="K20" s="114" t="s">
        <v>55</v>
      </c>
      <c r="L20" s="62">
        <v>20</v>
      </c>
      <c r="M20" s="63" t="s">
        <v>20</v>
      </c>
      <c r="N20" s="62">
        <f t="shared" ref="N20:N21" si="0">IF(M20="MISSING",0,IF(M20="POOR",(L20*0.2),IF(M20="INSUFFICIENT",(L20*0.4),IF(M20="SUFFICIENT",(L20*0.6),IF(M20="GOOD",(L20*0.8),IF(M20="EXCELLENT",L20,"ERROR"))))))</f>
        <v>20</v>
      </c>
      <c r="O20" s="69"/>
      <c r="P20" s="67"/>
      <c r="Q20" s="3"/>
      <c r="R20" s="3"/>
      <c r="S20" s="3"/>
      <c r="T20" s="3"/>
      <c r="U20" s="3"/>
      <c r="V20" s="3"/>
      <c r="W20" s="3"/>
      <c r="X20" s="3"/>
      <c r="Y20" s="3"/>
      <c r="Z20" s="3"/>
    </row>
    <row r="21" spans="1:26" ht="132.75" customHeight="1" x14ac:dyDescent="0.25">
      <c r="A21" s="70"/>
      <c r="B21" s="71"/>
      <c r="C21" s="150"/>
      <c r="D21" s="137" t="s">
        <v>56</v>
      </c>
      <c r="E21" s="138"/>
      <c r="F21" s="56" t="s">
        <v>27</v>
      </c>
      <c r="G21" s="111" t="s">
        <v>57</v>
      </c>
      <c r="H21" s="112" t="s">
        <v>202</v>
      </c>
      <c r="I21" s="122" t="s">
        <v>58</v>
      </c>
      <c r="J21" s="115" t="s">
        <v>59</v>
      </c>
      <c r="K21" s="123" t="s">
        <v>60</v>
      </c>
      <c r="L21" s="72">
        <v>20</v>
      </c>
      <c r="M21" s="63" t="s">
        <v>20</v>
      </c>
      <c r="N21" s="72">
        <f t="shared" si="0"/>
        <v>20</v>
      </c>
      <c r="O21" s="73"/>
      <c r="P21" s="70"/>
      <c r="Q21" s="4"/>
      <c r="R21" s="4"/>
      <c r="S21" s="4"/>
      <c r="T21" s="4"/>
      <c r="U21" s="4"/>
      <c r="V21" s="4"/>
      <c r="W21" s="4"/>
      <c r="X21" s="4"/>
      <c r="Y21" s="4"/>
      <c r="Z21" s="4"/>
    </row>
    <row r="22" spans="1:26" ht="45" customHeight="1" x14ac:dyDescent="0.3">
      <c r="A22" s="116"/>
      <c r="B22" s="117"/>
      <c r="C22" s="149" t="s">
        <v>41</v>
      </c>
      <c r="D22" s="166" t="s">
        <v>61</v>
      </c>
      <c r="E22" s="167"/>
      <c r="F22" s="167"/>
      <c r="G22" s="167"/>
      <c r="H22" s="167"/>
      <c r="I22" s="167"/>
      <c r="J22" s="167"/>
      <c r="K22" s="167"/>
      <c r="L22" s="118"/>
      <c r="M22" s="118"/>
      <c r="N22" s="118"/>
      <c r="O22" s="119"/>
      <c r="P22" s="116"/>
      <c r="Q22" s="1"/>
      <c r="R22" s="1"/>
      <c r="S22" s="1"/>
      <c r="T22" s="1"/>
      <c r="U22" s="1"/>
      <c r="V22" s="1"/>
      <c r="W22" s="1"/>
      <c r="X22" s="1"/>
      <c r="Y22" s="1"/>
      <c r="Z22" s="1"/>
    </row>
    <row r="23" spans="1:26" ht="160.5" customHeight="1" x14ac:dyDescent="0.3">
      <c r="A23" s="116"/>
      <c r="B23" s="117"/>
      <c r="C23" s="150"/>
      <c r="D23" s="168" t="s">
        <v>62</v>
      </c>
      <c r="E23" s="150"/>
      <c r="F23" s="130" t="s">
        <v>43</v>
      </c>
      <c r="G23" s="129" t="s">
        <v>203</v>
      </c>
      <c r="H23" s="131" t="s">
        <v>204</v>
      </c>
      <c r="I23" s="126" t="s">
        <v>205</v>
      </c>
      <c r="J23" s="132" t="s">
        <v>206</v>
      </c>
      <c r="K23" s="133" t="s">
        <v>207</v>
      </c>
      <c r="L23" s="120">
        <v>20</v>
      </c>
      <c r="M23" s="121" t="s">
        <v>18</v>
      </c>
      <c r="N23" s="120">
        <f>IF(M23="MISSING",0,IF(M23="POOR",(L23*0.2),IF(M23="INSUFFICIENT",(L23*0.4),IF(M23="SUFFICIENT",(L23*0.6),IF(M23="GOOD",(L23*0.8),IF(M23="EXCELLENT",L23,"ERROR"))))))</f>
        <v>12</v>
      </c>
      <c r="O23" s="119"/>
      <c r="P23" s="116"/>
      <c r="Q23" s="1"/>
      <c r="R23" s="1"/>
      <c r="S23" s="1"/>
      <c r="T23" s="1"/>
      <c r="U23" s="1"/>
      <c r="V23" s="1"/>
      <c r="W23" s="1"/>
      <c r="X23" s="1"/>
      <c r="Y23" s="1"/>
      <c r="Z23" s="1"/>
    </row>
    <row r="24" spans="1:26" ht="35.25" customHeight="1" x14ac:dyDescent="0.3">
      <c r="A24" s="37"/>
      <c r="B24" s="38"/>
      <c r="C24" s="38"/>
      <c r="D24" s="38"/>
      <c r="E24" s="38"/>
      <c r="F24" s="38"/>
      <c r="G24" s="38"/>
      <c r="H24" s="38"/>
      <c r="I24" s="143" t="s">
        <v>63</v>
      </c>
      <c r="J24" s="138"/>
      <c r="K24" s="138"/>
      <c r="L24" s="74">
        <f>SUM(L14:L23)</f>
        <v>100</v>
      </c>
      <c r="M24" s="75" t="s">
        <v>64</v>
      </c>
      <c r="N24" s="62">
        <f>SUM(N14:N23)</f>
        <v>92</v>
      </c>
      <c r="O24" s="55"/>
      <c r="P24" s="37"/>
      <c r="Q24" s="1"/>
      <c r="R24" s="1"/>
      <c r="S24" s="1"/>
      <c r="T24" s="1"/>
      <c r="U24" s="1"/>
      <c r="V24" s="1"/>
      <c r="W24" s="1"/>
      <c r="X24" s="1"/>
      <c r="Y24" s="1"/>
      <c r="Z24" s="1"/>
    </row>
    <row r="25" spans="1:26" ht="17.25" customHeight="1" x14ac:dyDescent="0.3">
      <c r="A25" s="37"/>
      <c r="B25" s="38"/>
      <c r="C25" s="38"/>
      <c r="D25" s="38"/>
      <c r="E25" s="38"/>
      <c r="F25" s="38"/>
      <c r="G25" s="38"/>
      <c r="H25" s="38"/>
      <c r="I25" s="38"/>
      <c r="J25" s="38"/>
      <c r="K25" s="38"/>
      <c r="L25" s="38"/>
      <c r="M25" s="38"/>
      <c r="N25" s="38"/>
      <c r="O25" s="55"/>
      <c r="P25" s="37"/>
      <c r="Q25" s="1"/>
      <c r="R25" s="1"/>
      <c r="S25" s="1"/>
      <c r="T25" s="1"/>
      <c r="U25" s="1"/>
      <c r="V25" s="1"/>
      <c r="W25" s="1"/>
      <c r="X25" s="1"/>
      <c r="Y25" s="1"/>
      <c r="Z25" s="1"/>
    </row>
    <row r="26" spans="1:26" ht="15.75" customHeight="1" x14ac:dyDescent="0.3">
      <c r="A26" s="37"/>
      <c r="B26" s="37"/>
      <c r="C26" s="37"/>
      <c r="D26" s="37"/>
      <c r="E26" s="37"/>
      <c r="F26" s="37"/>
      <c r="G26" s="37"/>
      <c r="H26" s="37"/>
      <c r="I26" s="37"/>
      <c r="J26" s="37"/>
      <c r="K26" s="37"/>
      <c r="L26" s="37"/>
      <c r="M26" s="37"/>
      <c r="N26" s="37"/>
      <c r="O26" s="37"/>
      <c r="P26" s="37"/>
      <c r="Q26" s="1"/>
      <c r="R26" s="1"/>
      <c r="S26" s="1"/>
      <c r="T26" s="1"/>
      <c r="U26" s="1"/>
      <c r="V26" s="1"/>
      <c r="W26" s="1"/>
      <c r="X26" s="1"/>
      <c r="Y26" s="1"/>
      <c r="Z26" s="1"/>
    </row>
    <row r="27" spans="1:26" ht="15.75" customHeight="1" x14ac:dyDescent="0.55000000000000004">
      <c r="A27" s="37"/>
      <c r="B27" s="76"/>
      <c r="C27" s="147" t="s">
        <v>65</v>
      </c>
      <c r="D27" s="138"/>
      <c r="E27" s="138"/>
      <c r="F27" s="76"/>
      <c r="G27" s="76"/>
      <c r="H27" s="76"/>
      <c r="I27" s="76"/>
      <c r="J27" s="76"/>
      <c r="K27" s="76"/>
      <c r="L27" s="76"/>
      <c r="M27" s="76"/>
      <c r="N27" s="77"/>
      <c r="O27" s="77"/>
      <c r="P27" s="37"/>
      <c r="Q27" s="1"/>
      <c r="R27" s="1"/>
      <c r="S27" s="1"/>
      <c r="T27" s="1"/>
      <c r="U27" s="1"/>
      <c r="V27" s="1"/>
      <c r="W27" s="1"/>
      <c r="X27" s="1"/>
      <c r="Y27" s="1"/>
      <c r="Z27" s="1"/>
    </row>
    <row r="28" spans="1:26" ht="15.75" customHeight="1" x14ac:dyDescent="0.3">
      <c r="A28" s="37"/>
      <c r="B28" s="76"/>
      <c r="C28" s="44" t="s">
        <v>66</v>
      </c>
      <c r="D28" s="148" t="s">
        <v>67</v>
      </c>
      <c r="E28" s="138"/>
      <c r="F28" s="44" t="s">
        <v>68</v>
      </c>
      <c r="G28" s="148" t="s">
        <v>2</v>
      </c>
      <c r="H28" s="138"/>
      <c r="I28" s="138"/>
      <c r="J28" s="138"/>
      <c r="K28" s="138"/>
      <c r="L28" s="78"/>
      <c r="M28" s="44"/>
      <c r="N28" s="48" t="s">
        <v>69</v>
      </c>
      <c r="O28" s="76"/>
      <c r="P28" s="37"/>
      <c r="Q28" s="1"/>
      <c r="R28" s="1"/>
      <c r="S28" s="1"/>
      <c r="T28" s="1"/>
      <c r="U28" s="1"/>
      <c r="V28" s="1"/>
      <c r="W28" s="1"/>
      <c r="X28" s="1"/>
      <c r="Y28" s="1"/>
      <c r="Z28" s="1"/>
    </row>
    <row r="29" spans="1:26" ht="39.75" customHeight="1" x14ac:dyDescent="0.3">
      <c r="A29" s="37"/>
      <c r="B29" s="76"/>
      <c r="C29" s="79">
        <v>9</v>
      </c>
      <c r="D29" s="165" t="s">
        <v>70</v>
      </c>
      <c r="E29" s="138"/>
      <c r="F29" s="80" t="s">
        <v>71</v>
      </c>
      <c r="G29" s="146" t="s">
        <v>72</v>
      </c>
      <c r="H29" s="138"/>
      <c r="I29" s="138"/>
      <c r="J29" s="138"/>
      <c r="K29" s="138"/>
      <c r="L29" s="138"/>
      <c r="M29" s="138"/>
      <c r="N29" s="81">
        <v>3</v>
      </c>
      <c r="O29" s="76"/>
      <c r="P29" s="37"/>
      <c r="Q29" s="1"/>
      <c r="R29" s="1"/>
      <c r="S29" s="1"/>
      <c r="T29" s="1"/>
      <c r="U29" s="1"/>
      <c r="V29" s="1"/>
      <c r="W29" s="1"/>
      <c r="X29" s="1"/>
      <c r="Y29" s="1"/>
      <c r="Z29" s="1"/>
    </row>
    <row r="30" spans="1:26" ht="39.75" customHeight="1" x14ac:dyDescent="0.3">
      <c r="A30" s="37"/>
      <c r="B30" s="76"/>
      <c r="C30" s="79">
        <v>10</v>
      </c>
      <c r="D30" s="165" t="s">
        <v>73</v>
      </c>
      <c r="E30" s="138"/>
      <c r="F30" s="80" t="s">
        <v>74</v>
      </c>
      <c r="G30" s="146" t="s">
        <v>75</v>
      </c>
      <c r="H30" s="138"/>
      <c r="I30" s="138"/>
      <c r="J30" s="138"/>
      <c r="K30" s="138"/>
      <c r="L30" s="138"/>
      <c r="M30" s="138"/>
      <c r="N30" s="81">
        <v>3</v>
      </c>
      <c r="O30" s="76"/>
      <c r="P30" s="37"/>
      <c r="Q30" s="1"/>
      <c r="R30" s="1"/>
      <c r="S30" s="1"/>
      <c r="T30" s="1"/>
      <c r="U30" s="1"/>
      <c r="V30" s="1"/>
      <c r="W30" s="1"/>
      <c r="X30" s="1"/>
      <c r="Y30" s="1"/>
      <c r="Z30" s="1"/>
    </row>
    <row r="31" spans="1:26" ht="39.75" customHeight="1" x14ac:dyDescent="0.3">
      <c r="A31" s="37"/>
      <c r="B31" s="76"/>
      <c r="C31" s="79">
        <v>11</v>
      </c>
      <c r="D31" s="165" t="s">
        <v>76</v>
      </c>
      <c r="E31" s="138"/>
      <c r="F31" s="80" t="s">
        <v>76</v>
      </c>
      <c r="G31" s="146" t="s">
        <v>77</v>
      </c>
      <c r="H31" s="138"/>
      <c r="I31" s="138"/>
      <c r="J31" s="138"/>
      <c r="K31" s="138"/>
      <c r="L31" s="138"/>
      <c r="M31" s="138"/>
      <c r="N31" s="81">
        <v>3</v>
      </c>
      <c r="O31" s="76"/>
      <c r="P31" s="37"/>
      <c r="Q31" s="1"/>
      <c r="R31" s="1"/>
      <c r="S31" s="1"/>
      <c r="T31" s="1"/>
      <c r="U31" s="1"/>
      <c r="V31" s="1"/>
      <c r="W31" s="1"/>
      <c r="X31" s="1"/>
      <c r="Y31" s="1"/>
      <c r="Z31" s="1"/>
    </row>
    <row r="32" spans="1:26" ht="39.75" customHeight="1" x14ac:dyDescent="0.3">
      <c r="A32" s="37"/>
      <c r="B32" s="76"/>
      <c r="C32" s="82">
        <v>1</v>
      </c>
      <c r="D32" s="140" t="s">
        <v>78</v>
      </c>
      <c r="E32" s="138"/>
      <c r="F32" s="83" t="s">
        <v>79</v>
      </c>
      <c r="G32" s="145" t="s">
        <v>80</v>
      </c>
      <c r="H32" s="138"/>
      <c r="I32" s="138"/>
      <c r="J32" s="138"/>
      <c r="K32" s="138"/>
      <c r="L32" s="138"/>
      <c r="M32" s="138"/>
      <c r="N32" s="84">
        <v>3</v>
      </c>
      <c r="O32" s="76"/>
      <c r="P32" s="37"/>
      <c r="Q32" s="1"/>
      <c r="R32" s="1"/>
      <c r="S32" s="1"/>
      <c r="T32" s="1"/>
      <c r="U32" s="1"/>
      <c r="V32" s="1"/>
      <c r="W32" s="1"/>
      <c r="X32" s="1"/>
      <c r="Y32" s="1"/>
      <c r="Z32" s="1"/>
    </row>
    <row r="33" spans="1:26" ht="39.75" customHeight="1" x14ac:dyDescent="0.3">
      <c r="A33" s="37"/>
      <c r="B33" s="76"/>
      <c r="C33" s="85">
        <v>2</v>
      </c>
      <c r="D33" s="139" t="s">
        <v>78</v>
      </c>
      <c r="E33" s="138"/>
      <c r="F33" s="86" t="s">
        <v>81</v>
      </c>
      <c r="G33" s="144" t="s">
        <v>82</v>
      </c>
      <c r="H33" s="138"/>
      <c r="I33" s="138"/>
      <c r="J33" s="138"/>
      <c r="K33" s="138"/>
      <c r="L33" s="138"/>
      <c r="M33" s="138"/>
      <c r="N33" s="87">
        <v>3</v>
      </c>
      <c r="O33" s="76"/>
      <c r="P33" s="37"/>
      <c r="Q33" s="1"/>
      <c r="R33" s="1"/>
      <c r="S33" s="1"/>
      <c r="T33" s="1"/>
      <c r="U33" s="1"/>
      <c r="V33" s="1"/>
      <c r="W33" s="1"/>
      <c r="X33" s="1"/>
      <c r="Y33" s="1"/>
      <c r="Z33" s="1"/>
    </row>
    <row r="34" spans="1:26" ht="39.75" customHeight="1" x14ac:dyDescent="0.3">
      <c r="A34" s="37"/>
      <c r="B34" s="76"/>
      <c r="C34" s="82">
        <v>3</v>
      </c>
      <c r="D34" s="140" t="s">
        <v>83</v>
      </c>
      <c r="E34" s="138"/>
      <c r="F34" s="83" t="s">
        <v>84</v>
      </c>
      <c r="G34" s="145" t="s">
        <v>85</v>
      </c>
      <c r="H34" s="138"/>
      <c r="I34" s="138"/>
      <c r="J34" s="138"/>
      <c r="K34" s="138"/>
      <c r="L34" s="138"/>
      <c r="M34" s="138"/>
      <c r="N34" s="84">
        <v>3</v>
      </c>
      <c r="O34" s="76"/>
      <c r="P34" s="37"/>
      <c r="Q34" s="1"/>
      <c r="R34" s="1"/>
      <c r="S34" s="1"/>
      <c r="T34" s="1"/>
      <c r="U34" s="1"/>
      <c r="V34" s="1"/>
      <c r="W34" s="1"/>
      <c r="X34" s="1"/>
      <c r="Y34" s="1"/>
      <c r="Z34" s="1"/>
    </row>
    <row r="35" spans="1:26" ht="39.75" customHeight="1" x14ac:dyDescent="0.3">
      <c r="A35" s="37"/>
      <c r="B35" s="76"/>
      <c r="C35" s="85">
        <v>4</v>
      </c>
      <c r="D35" s="139" t="s">
        <v>86</v>
      </c>
      <c r="E35" s="138"/>
      <c r="F35" s="86" t="s">
        <v>87</v>
      </c>
      <c r="G35" s="144" t="s">
        <v>88</v>
      </c>
      <c r="H35" s="138"/>
      <c r="I35" s="138"/>
      <c r="J35" s="138"/>
      <c r="K35" s="138"/>
      <c r="L35" s="138"/>
      <c r="M35" s="138"/>
      <c r="N35" s="87">
        <v>3</v>
      </c>
      <c r="O35" s="76"/>
      <c r="P35" s="37"/>
      <c r="Q35" s="1"/>
      <c r="R35" s="1"/>
      <c r="S35" s="1"/>
      <c r="T35" s="1"/>
      <c r="U35" s="1"/>
      <c r="V35" s="1"/>
      <c r="W35" s="1"/>
      <c r="X35" s="1"/>
      <c r="Y35" s="1"/>
      <c r="Z35" s="1"/>
    </row>
    <row r="36" spans="1:26" ht="39.75" customHeight="1" x14ac:dyDescent="0.3">
      <c r="A36" s="37"/>
      <c r="B36" s="76"/>
      <c r="C36" s="88">
        <v>5</v>
      </c>
      <c r="D36" s="140" t="s">
        <v>89</v>
      </c>
      <c r="E36" s="138"/>
      <c r="F36" s="83" t="s">
        <v>89</v>
      </c>
      <c r="G36" s="145" t="s">
        <v>90</v>
      </c>
      <c r="H36" s="138"/>
      <c r="I36" s="138"/>
      <c r="J36" s="138"/>
      <c r="K36" s="138"/>
      <c r="L36" s="138"/>
      <c r="M36" s="138"/>
      <c r="N36" s="84">
        <v>3</v>
      </c>
      <c r="O36" s="76"/>
      <c r="P36" s="37"/>
      <c r="Q36" s="1"/>
      <c r="R36" s="1"/>
      <c r="S36" s="1"/>
      <c r="T36" s="1"/>
      <c r="U36" s="1"/>
      <c r="V36" s="1"/>
      <c r="W36" s="1"/>
      <c r="X36" s="1"/>
      <c r="Y36" s="1"/>
      <c r="Z36" s="1"/>
    </row>
    <row r="37" spans="1:26" ht="39.75" customHeight="1" x14ac:dyDescent="0.3">
      <c r="A37" s="37"/>
      <c r="B37" s="76"/>
      <c r="C37" s="85">
        <v>6</v>
      </c>
      <c r="D37" s="139" t="s">
        <v>89</v>
      </c>
      <c r="E37" s="138"/>
      <c r="F37" s="86" t="s">
        <v>91</v>
      </c>
      <c r="G37" s="144" t="s">
        <v>92</v>
      </c>
      <c r="H37" s="138"/>
      <c r="I37" s="138"/>
      <c r="J37" s="138"/>
      <c r="K37" s="138"/>
      <c r="L37" s="138"/>
      <c r="M37" s="138"/>
      <c r="N37" s="87">
        <v>3</v>
      </c>
      <c r="O37" s="76"/>
      <c r="P37" s="37"/>
      <c r="Q37" s="1"/>
      <c r="R37" s="1"/>
      <c r="S37" s="1"/>
      <c r="T37" s="1"/>
      <c r="U37" s="1"/>
      <c r="V37" s="1"/>
      <c r="W37" s="1"/>
      <c r="X37" s="1"/>
      <c r="Y37" s="1"/>
      <c r="Z37" s="1"/>
    </row>
    <row r="38" spans="1:26" ht="39.75" customHeight="1" x14ac:dyDescent="0.3">
      <c r="A38" s="37"/>
      <c r="B38" s="76"/>
      <c r="C38" s="82">
        <v>7</v>
      </c>
      <c r="D38" s="140" t="s">
        <v>93</v>
      </c>
      <c r="E38" s="138"/>
      <c r="F38" s="83" t="s">
        <v>94</v>
      </c>
      <c r="G38" s="145" t="s">
        <v>95</v>
      </c>
      <c r="H38" s="138"/>
      <c r="I38" s="138"/>
      <c r="J38" s="138"/>
      <c r="K38" s="138"/>
      <c r="L38" s="138"/>
      <c r="M38" s="138"/>
      <c r="N38" s="84">
        <v>3</v>
      </c>
      <c r="O38" s="76"/>
      <c r="P38" s="37"/>
      <c r="Q38" s="1"/>
      <c r="R38" s="1"/>
      <c r="S38" s="1"/>
      <c r="T38" s="1"/>
      <c r="U38" s="1"/>
      <c r="V38" s="1"/>
      <c r="W38" s="1"/>
      <c r="X38" s="1"/>
      <c r="Y38" s="1"/>
      <c r="Z38" s="1"/>
    </row>
    <row r="39" spans="1:26" ht="39.75" customHeight="1" x14ac:dyDescent="0.3">
      <c r="A39" s="37"/>
      <c r="B39" s="76"/>
      <c r="C39" s="85">
        <v>8</v>
      </c>
      <c r="D39" s="139" t="s">
        <v>93</v>
      </c>
      <c r="E39" s="138"/>
      <c r="F39" s="86" t="s">
        <v>96</v>
      </c>
      <c r="G39" s="144" t="s">
        <v>97</v>
      </c>
      <c r="H39" s="138"/>
      <c r="I39" s="138"/>
      <c r="J39" s="138"/>
      <c r="K39" s="138"/>
      <c r="L39" s="138"/>
      <c r="M39" s="138"/>
      <c r="N39" s="87">
        <v>3</v>
      </c>
      <c r="O39" s="76"/>
      <c r="P39" s="37"/>
      <c r="Q39" s="1"/>
      <c r="R39" s="1"/>
      <c r="S39" s="1"/>
      <c r="T39" s="1"/>
      <c r="U39" s="1"/>
      <c r="V39" s="1"/>
      <c r="W39" s="1"/>
      <c r="X39" s="1"/>
      <c r="Y39" s="1"/>
      <c r="Z39" s="1"/>
    </row>
    <row r="40" spans="1:26" ht="15.75" customHeight="1" x14ac:dyDescent="0.3">
      <c r="A40" s="37"/>
      <c r="B40" s="76"/>
      <c r="C40" s="76"/>
      <c r="D40" s="76"/>
      <c r="E40" s="76"/>
      <c r="F40" s="76"/>
      <c r="G40" s="76"/>
      <c r="H40" s="76"/>
      <c r="I40" s="76"/>
      <c r="J40" s="76"/>
      <c r="K40" s="76"/>
      <c r="L40" s="76"/>
      <c r="M40" s="76"/>
      <c r="N40" s="76"/>
      <c r="O40" s="76"/>
      <c r="P40" s="37"/>
      <c r="Q40" s="1"/>
      <c r="R40" s="1"/>
      <c r="S40" s="1"/>
      <c r="T40" s="1"/>
      <c r="U40" s="1"/>
      <c r="V40" s="1"/>
      <c r="W40" s="1"/>
      <c r="X40" s="1"/>
      <c r="Y40" s="1"/>
      <c r="Z40" s="1"/>
    </row>
    <row r="41" spans="1:26" ht="15.75" customHeight="1" x14ac:dyDescent="0.3">
      <c r="A41" s="37"/>
      <c r="B41" s="37"/>
      <c r="C41" s="37"/>
      <c r="D41" s="37"/>
      <c r="E41" s="37"/>
      <c r="F41" s="37"/>
      <c r="G41" s="37"/>
      <c r="H41" s="37"/>
      <c r="I41" s="37"/>
      <c r="J41" s="37"/>
      <c r="K41" s="37"/>
      <c r="L41" s="37"/>
      <c r="M41" s="37"/>
      <c r="N41" s="37"/>
      <c r="O41" s="37"/>
      <c r="P41" s="37"/>
      <c r="Q41" s="1"/>
      <c r="R41" s="1"/>
      <c r="S41" s="1"/>
      <c r="T41" s="1"/>
      <c r="U41" s="1"/>
      <c r="V41" s="1"/>
      <c r="W41" s="1"/>
      <c r="X41" s="1"/>
      <c r="Y41" s="1"/>
      <c r="Z41" s="1"/>
    </row>
    <row r="42" spans="1:26" ht="15.75" customHeight="1" x14ac:dyDescent="0.55000000000000004">
      <c r="A42" s="37"/>
      <c r="B42" s="89"/>
      <c r="C42" s="147" t="s">
        <v>98</v>
      </c>
      <c r="D42" s="138"/>
      <c r="E42" s="138"/>
      <c r="F42" s="38"/>
      <c r="G42" s="38"/>
      <c r="H42" s="38"/>
      <c r="I42" s="38"/>
      <c r="J42" s="38"/>
      <c r="K42" s="38"/>
      <c r="L42" s="38"/>
      <c r="M42" s="38"/>
      <c r="N42" s="38"/>
      <c r="O42" s="38"/>
      <c r="P42" s="37"/>
      <c r="Q42" s="1"/>
      <c r="R42" s="1"/>
      <c r="S42" s="1"/>
      <c r="T42" s="1"/>
      <c r="U42" s="1"/>
      <c r="V42" s="1"/>
      <c r="W42" s="1"/>
      <c r="X42" s="1"/>
      <c r="Y42" s="1"/>
      <c r="Z42" s="1"/>
    </row>
    <row r="43" spans="1:26" ht="15.75" customHeight="1" x14ac:dyDescent="0.3">
      <c r="A43" s="37"/>
      <c r="B43" s="89"/>
      <c r="C43" s="90" t="s">
        <v>66</v>
      </c>
      <c r="D43" s="90" t="s">
        <v>99</v>
      </c>
      <c r="E43" s="91"/>
      <c r="F43" s="164" t="s">
        <v>100</v>
      </c>
      <c r="G43" s="138"/>
      <c r="H43" s="138"/>
      <c r="I43" s="138"/>
      <c r="J43" s="148" t="s">
        <v>101</v>
      </c>
      <c r="K43" s="138"/>
      <c r="L43" s="138"/>
      <c r="M43" s="138"/>
      <c r="N43" s="138"/>
      <c r="O43" s="38"/>
      <c r="P43" s="37"/>
      <c r="Q43" s="1"/>
      <c r="R43" s="1"/>
      <c r="S43" s="1"/>
      <c r="T43" s="1"/>
      <c r="U43" s="1"/>
      <c r="V43" s="1"/>
      <c r="W43" s="1"/>
      <c r="X43" s="1"/>
      <c r="Y43" s="1"/>
      <c r="Z43" s="1"/>
    </row>
    <row r="44" spans="1:26" ht="48.75" customHeight="1" x14ac:dyDescent="0.3">
      <c r="A44" s="37"/>
      <c r="B44" s="92"/>
      <c r="C44" s="5">
        <v>1</v>
      </c>
      <c r="D44" s="6" t="s">
        <v>102</v>
      </c>
      <c r="E44" s="6"/>
      <c r="F44" s="162" t="s">
        <v>103</v>
      </c>
      <c r="G44" s="150"/>
      <c r="H44" s="150"/>
      <c r="I44" s="150"/>
      <c r="J44" s="162" t="s">
        <v>104</v>
      </c>
      <c r="K44" s="150"/>
      <c r="L44" s="150"/>
      <c r="M44" s="150"/>
      <c r="N44" s="150"/>
      <c r="O44" s="38"/>
      <c r="P44" s="37"/>
      <c r="Q44" s="1"/>
      <c r="R44" s="1"/>
      <c r="S44" s="1"/>
      <c r="T44" s="1"/>
      <c r="U44" s="1"/>
      <c r="V44" s="1"/>
      <c r="W44" s="1"/>
      <c r="X44" s="1"/>
      <c r="Y44" s="1"/>
      <c r="Z44" s="1"/>
    </row>
    <row r="45" spans="1:26" ht="47.25" customHeight="1" x14ac:dyDescent="0.3">
      <c r="A45" s="37"/>
      <c r="B45" s="92"/>
      <c r="C45" s="93">
        <v>2</v>
      </c>
      <c r="D45" s="94" t="s">
        <v>105</v>
      </c>
      <c r="E45" s="94"/>
      <c r="F45" s="163" t="s">
        <v>106</v>
      </c>
      <c r="G45" s="138"/>
      <c r="H45" s="138"/>
      <c r="I45" s="138"/>
      <c r="J45" s="163" t="s">
        <v>107</v>
      </c>
      <c r="K45" s="138"/>
      <c r="L45" s="138"/>
      <c r="M45" s="138"/>
      <c r="N45" s="138"/>
      <c r="O45" s="38"/>
      <c r="P45" s="37"/>
      <c r="Q45" s="1"/>
      <c r="R45" s="1"/>
      <c r="S45" s="1"/>
      <c r="T45" s="1"/>
      <c r="U45" s="1"/>
      <c r="V45" s="1"/>
      <c r="W45" s="1"/>
      <c r="X45" s="1"/>
      <c r="Y45" s="1"/>
      <c r="Z45" s="1"/>
    </row>
    <row r="46" spans="1:26" ht="42" customHeight="1" x14ac:dyDescent="0.3">
      <c r="A46" s="37"/>
      <c r="B46" s="92"/>
      <c r="C46" s="5">
        <v>3</v>
      </c>
      <c r="D46" s="6" t="s">
        <v>108</v>
      </c>
      <c r="E46" s="6"/>
      <c r="F46" s="162" t="s">
        <v>109</v>
      </c>
      <c r="G46" s="150"/>
      <c r="H46" s="150"/>
      <c r="I46" s="150"/>
      <c r="J46" s="162" t="s">
        <v>110</v>
      </c>
      <c r="K46" s="150"/>
      <c r="L46" s="150"/>
      <c r="M46" s="150"/>
      <c r="N46" s="150"/>
      <c r="O46" s="38"/>
      <c r="P46" s="37"/>
      <c r="Q46" s="1"/>
      <c r="R46" s="1"/>
      <c r="S46" s="1"/>
      <c r="T46" s="1"/>
      <c r="U46" s="1"/>
      <c r="V46" s="1"/>
      <c r="W46" s="1"/>
      <c r="X46" s="1"/>
      <c r="Y46" s="1"/>
      <c r="Z46" s="1"/>
    </row>
    <row r="47" spans="1:26" ht="42" customHeight="1" x14ac:dyDescent="0.3">
      <c r="A47" s="37"/>
      <c r="B47" s="92"/>
      <c r="C47" s="93">
        <v>4</v>
      </c>
      <c r="D47" s="94" t="s">
        <v>111</v>
      </c>
      <c r="E47" s="94"/>
      <c r="F47" s="163" t="s">
        <v>112</v>
      </c>
      <c r="G47" s="138"/>
      <c r="H47" s="138"/>
      <c r="I47" s="138"/>
      <c r="J47" s="163" t="s">
        <v>113</v>
      </c>
      <c r="K47" s="138"/>
      <c r="L47" s="138"/>
      <c r="M47" s="138"/>
      <c r="N47" s="138"/>
      <c r="O47" s="38"/>
      <c r="P47" s="37"/>
      <c r="Q47" s="1"/>
      <c r="R47" s="1"/>
      <c r="S47" s="1"/>
      <c r="T47" s="1"/>
      <c r="U47" s="1"/>
      <c r="V47" s="1"/>
      <c r="W47" s="1"/>
      <c r="X47" s="1"/>
      <c r="Y47" s="1"/>
      <c r="Z47" s="1"/>
    </row>
    <row r="48" spans="1:26" ht="36" customHeight="1" x14ac:dyDescent="0.3">
      <c r="A48" s="37"/>
      <c r="B48" s="92"/>
      <c r="C48" s="5">
        <v>5</v>
      </c>
      <c r="D48" s="6" t="s">
        <v>114</v>
      </c>
      <c r="E48" s="6"/>
      <c r="F48" s="162" t="s">
        <v>115</v>
      </c>
      <c r="G48" s="150"/>
      <c r="H48" s="150"/>
      <c r="I48" s="150"/>
      <c r="J48" s="162" t="s">
        <v>116</v>
      </c>
      <c r="K48" s="150"/>
      <c r="L48" s="150"/>
      <c r="M48" s="150"/>
      <c r="N48" s="150"/>
      <c r="O48" s="38"/>
      <c r="P48" s="37"/>
      <c r="Q48" s="1"/>
      <c r="R48" s="1"/>
      <c r="S48" s="1"/>
      <c r="T48" s="1"/>
      <c r="U48" s="1"/>
      <c r="V48" s="1"/>
      <c r="W48" s="1"/>
      <c r="X48" s="1"/>
      <c r="Y48" s="1"/>
      <c r="Z48" s="1"/>
    </row>
    <row r="49" spans="1:26" ht="15.75" customHeight="1" x14ac:dyDescent="0.3">
      <c r="A49" s="37"/>
      <c r="B49" s="38"/>
      <c r="C49" s="38"/>
      <c r="D49" s="38"/>
      <c r="E49" s="38"/>
      <c r="F49" s="38"/>
      <c r="G49" s="38"/>
      <c r="H49" s="38"/>
      <c r="I49" s="38"/>
      <c r="J49" s="38"/>
      <c r="K49" s="38"/>
      <c r="L49" s="38"/>
      <c r="M49" s="38"/>
      <c r="N49" s="38"/>
      <c r="O49" s="38"/>
      <c r="P49" s="37"/>
      <c r="Q49" s="1"/>
      <c r="R49" s="1"/>
      <c r="S49" s="1"/>
      <c r="T49" s="1"/>
      <c r="U49" s="1"/>
      <c r="V49" s="1"/>
      <c r="W49" s="1"/>
      <c r="X49" s="1"/>
      <c r="Y49" s="1"/>
      <c r="Z49" s="1"/>
    </row>
    <row r="50" spans="1:26" ht="15.75" customHeight="1" x14ac:dyDescent="0.3">
      <c r="A50" s="37"/>
      <c r="B50" s="37"/>
      <c r="C50" s="37"/>
      <c r="D50" s="37"/>
      <c r="E50" s="37"/>
      <c r="F50" s="37"/>
      <c r="G50" s="37"/>
      <c r="H50" s="37"/>
      <c r="I50" s="37"/>
      <c r="J50" s="37"/>
      <c r="K50" s="37"/>
      <c r="L50" s="37"/>
      <c r="M50" s="37"/>
      <c r="N50" s="37"/>
      <c r="O50" s="37"/>
      <c r="P50" s="37"/>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70">
    <mergeCell ref="C22:C23"/>
    <mergeCell ref="D22:K22"/>
    <mergeCell ref="D23:E23"/>
    <mergeCell ref="G29:M29"/>
    <mergeCell ref="D30:E30"/>
    <mergeCell ref="D29:E29"/>
    <mergeCell ref="D31:E31"/>
    <mergeCell ref="D38:E38"/>
    <mergeCell ref="G38:M38"/>
    <mergeCell ref="D32:E32"/>
    <mergeCell ref="G32:M32"/>
    <mergeCell ref="D33:E33"/>
    <mergeCell ref="G33:M33"/>
    <mergeCell ref="D34:E34"/>
    <mergeCell ref="G34:M34"/>
    <mergeCell ref="D39:E39"/>
    <mergeCell ref="G39:M39"/>
    <mergeCell ref="C42:E42"/>
    <mergeCell ref="F46:I46"/>
    <mergeCell ref="F47:I47"/>
    <mergeCell ref="F48:I48"/>
    <mergeCell ref="J47:N47"/>
    <mergeCell ref="J48:N48"/>
    <mergeCell ref="F43:I43"/>
    <mergeCell ref="J43:N43"/>
    <mergeCell ref="F44:I44"/>
    <mergeCell ref="J44:N44"/>
    <mergeCell ref="F45:I45"/>
    <mergeCell ref="J45:N45"/>
    <mergeCell ref="J46:N46"/>
    <mergeCell ref="C2:E2"/>
    <mergeCell ref="C3:D3"/>
    <mergeCell ref="J3:K3"/>
    <mergeCell ref="L3:N3"/>
    <mergeCell ref="F4:I8"/>
    <mergeCell ref="J4:K8"/>
    <mergeCell ref="N4:N8"/>
    <mergeCell ref="C8:D8"/>
    <mergeCell ref="C19:C21"/>
    <mergeCell ref="D20:E20"/>
    <mergeCell ref="L4:L8"/>
    <mergeCell ref="M4:M8"/>
    <mergeCell ref="C4:D4"/>
    <mergeCell ref="C5:D5"/>
    <mergeCell ref="D15:K15"/>
    <mergeCell ref="C15:C16"/>
    <mergeCell ref="D16:E16"/>
    <mergeCell ref="C17:C18"/>
    <mergeCell ref="D18:E18"/>
    <mergeCell ref="C6:D6"/>
    <mergeCell ref="C7:D7"/>
    <mergeCell ref="C11:E11"/>
    <mergeCell ref="C13:C14"/>
    <mergeCell ref="D13:K13"/>
    <mergeCell ref="D14:E14"/>
    <mergeCell ref="D21:E21"/>
    <mergeCell ref="D35:E35"/>
    <mergeCell ref="D36:E36"/>
    <mergeCell ref="D37:E37"/>
    <mergeCell ref="D17:K17"/>
    <mergeCell ref="D19:K19"/>
    <mergeCell ref="I24:K24"/>
    <mergeCell ref="G35:M35"/>
    <mergeCell ref="G36:M36"/>
    <mergeCell ref="G37:M37"/>
    <mergeCell ref="G30:M30"/>
    <mergeCell ref="G31:M31"/>
    <mergeCell ref="C27:E27"/>
    <mergeCell ref="D28:E28"/>
    <mergeCell ref="G28:K28"/>
  </mergeCells>
  <conditionalFormatting sqref="L24">
    <cfRule type="cellIs" dxfId="21" priority="16" operator="equal">
      <formula>100</formula>
    </cfRule>
  </conditionalFormatting>
  <conditionalFormatting sqref="M14:M16">
    <cfRule type="cellIs" dxfId="20" priority="10" operator="equal">
      <formula>"EXCELLENT"</formula>
    </cfRule>
    <cfRule type="cellIs" dxfId="19" priority="11" operator="equal">
      <formula>"GOOD"</formula>
    </cfRule>
    <cfRule type="cellIs" dxfId="18" priority="12" operator="equal">
      <formula>"SUFFICIENT"</formula>
    </cfRule>
    <cfRule type="cellIs" dxfId="17" priority="13" operator="equal">
      <formula>"INSUFFICIENT"</formula>
    </cfRule>
    <cfRule type="cellIs" dxfId="16" priority="14" operator="equal">
      <formula>"MISSING"</formula>
    </cfRule>
    <cfRule type="cellIs" dxfId="15" priority="15" operator="equal">
      <formula>"POOR"</formula>
    </cfRule>
  </conditionalFormatting>
  <conditionalFormatting sqref="M18 M20:M21">
    <cfRule type="cellIs" dxfId="14" priority="17" operator="equal">
      <formula>"EXCELLENT"</formula>
    </cfRule>
    <cfRule type="cellIs" dxfId="13" priority="18" operator="equal">
      <formula>"GOOD"</formula>
    </cfRule>
    <cfRule type="cellIs" dxfId="12" priority="19" operator="equal">
      <formula>"SUFFICIENT"</formula>
    </cfRule>
    <cfRule type="cellIs" dxfId="11" priority="20" operator="equal">
      <formula>"INSUFFICIENT"</formula>
    </cfRule>
    <cfRule type="cellIs" dxfId="10" priority="21" operator="equal">
      <formula>"MISSING"</formula>
    </cfRule>
    <cfRule type="cellIs" dxfId="9" priority="22" operator="equal">
      <formula>"POOR"</formula>
    </cfRule>
  </conditionalFormatting>
  <conditionalFormatting sqref="M23">
    <cfRule type="cellIs" dxfId="8" priority="1" operator="equal">
      <formula>"EXCELLENT"</formula>
    </cfRule>
    <cfRule type="cellIs" dxfId="7" priority="2" operator="equal">
      <formula>"GOOD"</formula>
    </cfRule>
    <cfRule type="cellIs" dxfId="6" priority="3" operator="equal">
      <formula>"SUFFICIENT"</formula>
    </cfRule>
    <cfRule type="cellIs" dxfId="5" priority="4" operator="equal">
      <formula>"INSUFFICIENT"</formula>
    </cfRule>
    <cfRule type="cellIs" dxfId="4" priority="5" operator="equal">
      <formula>"MISSING"</formula>
    </cfRule>
    <cfRule type="cellIs" dxfId="3" priority="6" operator="equal">
      <formula>"POOR"</formula>
    </cfRule>
  </conditionalFormatting>
  <conditionalFormatting sqref="N4">
    <cfRule type="containsText" dxfId="2" priority="7" operator="containsText" text="FAIL">
      <formula>NOT(ISERROR(SEARCH(("FAIL"),(N4))))</formula>
    </cfRule>
    <cfRule type="cellIs" dxfId="1" priority="8" operator="equal">
      <formula>"PASS"</formula>
    </cfRule>
    <cfRule type="cellIs" dxfId="0" priority="9" operator="equal">
      <formula>"M/O"</formula>
    </cfRule>
  </conditionalFormatting>
  <dataValidations count="1">
    <dataValidation type="list" allowBlank="1" showInputMessage="1" showErrorMessage="1" prompt="Please select from Missing through to Excellent." sqref="M14:M16 M18 M20:M21 M23" xr:uid="{00000000-0002-0000-0000-000000000000}">
      <formula1>$F$12:$K$12</formula1>
    </dataValidation>
  </dataValidations>
  <printOptions horizontalCentered="1" gridLines="1"/>
  <pageMargins left="0.25" right="0.25" top="0.75" bottom="0.75" header="0" footer="0"/>
  <pageSetup paperSize="9" pageOrder="overThenDown" orientation="portrait" cellComments="atEnd"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sheetViews>
  <sheetFormatPr defaultColWidth="12.54296875" defaultRowHeight="15" customHeight="1" x14ac:dyDescent="0.25"/>
  <cols>
    <col min="1" max="6" width="14.453125" customWidth="1"/>
    <col min="7" max="7" width="18.08984375" customWidth="1"/>
    <col min="8" max="8" width="14.453125" customWidth="1"/>
    <col min="9" max="9" width="16.08984375" customWidth="1"/>
    <col min="10" max="26" width="14.453125" customWidth="1"/>
  </cols>
  <sheetData>
    <row r="1" spans="1:20" ht="15.75" customHeight="1" x14ac:dyDescent="0.25"/>
    <row r="2" spans="1:20" ht="15.75" customHeight="1" x14ac:dyDescent="0.25">
      <c r="A2" s="7" t="s">
        <v>117</v>
      </c>
      <c r="B2" s="171" t="s">
        <v>118</v>
      </c>
      <c r="C2" s="138"/>
      <c r="D2" s="138"/>
      <c r="G2" s="8"/>
      <c r="H2" s="95" t="s">
        <v>119</v>
      </c>
      <c r="I2" s="95" t="s">
        <v>120</v>
      </c>
      <c r="J2" s="95" t="s">
        <v>121</v>
      </c>
      <c r="K2" s="95" t="s">
        <v>122</v>
      </c>
      <c r="L2" s="95" t="s">
        <v>123</v>
      </c>
      <c r="M2" s="95" t="s">
        <v>124</v>
      </c>
    </row>
    <row r="3" spans="1:20" ht="15.75" customHeight="1" x14ac:dyDescent="0.3">
      <c r="B3" s="96"/>
      <c r="C3" s="96"/>
      <c r="D3" s="96"/>
      <c r="F3" s="7"/>
      <c r="G3" s="9"/>
      <c r="H3" s="9"/>
      <c r="I3" s="9"/>
      <c r="J3" s="9"/>
      <c r="K3" s="9"/>
      <c r="L3" s="9"/>
      <c r="M3" s="9"/>
      <c r="N3" s="9"/>
      <c r="O3" s="9"/>
      <c r="P3" s="9"/>
      <c r="Q3" s="9"/>
      <c r="R3" s="9"/>
      <c r="S3" s="9"/>
      <c r="T3" s="8"/>
    </row>
    <row r="4" spans="1:20" ht="15.75" customHeight="1" x14ac:dyDescent="0.3">
      <c r="B4" s="96"/>
      <c r="C4" s="96"/>
      <c r="D4" s="96"/>
      <c r="F4" s="7"/>
      <c r="G4" s="9"/>
      <c r="H4" s="9"/>
      <c r="I4" s="9"/>
      <c r="J4" s="9"/>
      <c r="K4" s="9"/>
      <c r="L4" s="9"/>
      <c r="M4" s="9"/>
      <c r="N4" s="9"/>
      <c r="O4" s="9"/>
      <c r="P4" s="9"/>
      <c r="Q4" s="9"/>
      <c r="R4" s="9"/>
      <c r="S4" s="9"/>
      <c r="T4" s="8"/>
    </row>
    <row r="5" spans="1:20" ht="15.75" customHeight="1" x14ac:dyDescent="0.3">
      <c r="B5" s="169" t="s">
        <v>125</v>
      </c>
      <c r="C5" s="138"/>
      <c r="D5" s="138"/>
      <c r="F5" s="7">
        <v>6.1</v>
      </c>
      <c r="G5" s="9" t="s">
        <v>126</v>
      </c>
      <c r="H5" s="9" t="s">
        <v>127</v>
      </c>
      <c r="I5" s="9" t="s">
        <v>128</v>
      </c>
      <c r="J5" s="9" t="s">
        <v>129</v>
      </c>
      <c r="K5" s="9" t="s">
        <v>130</v>
      </c>
      <c r="L5" s="9" t="s">
        <v>131</v>
      </c>
      <c r="M5" s="9" t="s">
        <v>132</v>
      </c>
      <c r="N5" s="9" t="e">
        <f ca="1">_xludf.CONCAT(M5,M6)</f>
        <v>#NAME?</v>
      </c>
      <c r="O5" s="9" t="e">
        <f ca="1">_xludf.CONCAT(L5,L6)</f>
        <v>#NAME?</v>
      </c>
      <c r="P5" s="9" t="e">
        <f ca="1">_xludf.CONCAT(K5,K6)</f>
        <v>#NAME?</v>
      </c>
      <c r="Q5" s="9" t="e">
        <f ca="1">_xludf.CONCAT(J5,J6)</f>
        <v>#NAME?</v>
      </c>
      <c r="R5" s="9" t="e">
        <f ca="1">_xludf.CONCAT(I5,I6)</f>
        <v>#NAME?</v>
      </c>
      <c r="S5" s="9" t="e">
        <f ca="1">_xludf.CONCAT(H5,H6)</f>
        <v>#NAME?</v>
      </c>
      <c r="T5" s="8"/>
    </row>
    <row r="6" spans="1:20" ht="15.75" customHeight="1" x14ac:dyDescent="0.3">
      <c r="B6" s="96"/>
      <c r="C6" s="96"/>
      <c r="D6" s="96"/>
      <c r="G6" s="9"/>
      <c r="H6" s="9" t="s">
        <v>133</v>
      </c>
      <c r="I6" s="97" t="s">
        <v>134</v>
      </c>
      <c r="J6" s="9" t="s">
        <v>135</v>
      </c>
      <c r="K6" s="9" t="s">
        <v>136</v>
      </c>
      <c r="L6" s="9" t="s">
        <v>137</v>
      </c>
      <c r="M6" s="9" t="s">
        <v>138</v>
      </c>
      <c r="N6" s="8"/>
      <c r="O6" s="8"/>
      <c r="P6" s="8"/>
      <c r="Q6" s="8"/>
      <c r="R6" s="8"/>
      <c r="S6" s="8"/>
      <c r="T6" s="8"/>
    </row>
    <row r="7" spans="1:20" ht="15.75" customHeight="1" x14ac:dyDescent="0.3">
      <c r="B7" s="169" t="s">
        <v>139</v>
      </c>
      <c r="C7" s="138"/>
      <c r="D7" s="138"/>
      <c r="F7" s="7">
        <v>6.2</v>
      </c>
      <c r="G7" s="8" t="s">
        <v>140</v>
      </c>
      <c r="H7" s="98" t="s">
        <v>141</v>
      </c>
      <c r="I7" s="99" t="s">
        <v>142</v>
      </c>
      <c r="J7" s="99" t="s">
        <v>143</v>
      </c>
      <c r="K7" s="99" t="s">
        <v>144</v>
      </c>
      <c r="L7" s="100" t="s">
        <v>145</v>
      </c>
      <c r="M7" s="101" t="s">
        <v>146</v>
      </c>
      <c r="N7" s="9" t="e">
        <f ca="1">_xludf.CONCAT(M7,M8)</f>
        <v>#NAME?</v>
      </c>
      <c r="O7" s="9" t="e">
        <f ca="1">_xludf.CONCAT(L7,L8)</f>
        <v>#NAME?</v>
      </c>
      <c r="P7" s="9" t="e">
        <f ca="1">_xludf.CONCAT(K7,K8)</f>
        <v>#NAME?</v>
      </c>
      <c r="Q7" s="9" t="e">
        <f ca="1">_xludf.CONCAT(J7,J8)</f>
        <v>#NAME?</v>
      </c>
      <c r="R7" s="9" t="e">
        <f ca="1">_xludf.CONCAT(I7,I8)</f>
        <v>#NAME?</v>
      </c>
      <c r="S7" s="9" t="e">
        <f ca="1">_xludf.CONCAT(H7,H8)</f>
        <v>#NAME?</v>
      </c>
      <c r="T7" s="9"/>
    </row>
    <row r="8" spans="1:20" ht="15.75" customHeight="1" x14ac:dyDescent="0.3">
      <c r="B8" s="169" t="s">
        <v>147</v>
      </c>
      <c r="C8" s="138"/>
      <c r="D8" s="138"/>
      <c r="G8" s="8"/>
      <c r="H8" s="102" t="s">
        <v>133</v>
      </c>
      <c r="I8" s="99" t="s">
        <v>148</v>
      </c>
      <c r="J8" s="100" t="s">
        <v>149</v>
      </c>
      <c r="K8" s="101" t="s">
        <v>150</v>
      </c>
      <c r="L8" s="101" t="s">
        <v>151</v>
      </c>
      <c r="M8" s="101" t="s">
        <v>152</v>
      </c>
      <c r="N8" s="9"/>
      <c r="O8" s="9"/>
      <c r="P8" s="9"/>
      <c r="Q8" s="9"/>
      <c r="R8" s="9"/>
      <c r="S8" s="9"/>
      <c r="T8" s="9"/>
    </row>
    <row r="9" spans="1:20" ht="15.75" customHeight="1" x14ac:dyDescent="0.25">
      <c r="G9" s="7"/>
      <c r="H9" s="8"/>
      <c r="I9" s="7"/>
      <c r="J9" s="7"/>
      <c r="L9" s="7"/>
      <c r="M9" s="7"/>
    </row>
    <row r="10" spans="1:20" ht="15.75" customHeight="1" x14ac:dyDescent="0.25">
      <c r="G10" s="7"/>
      <c r="H10" s="8"/>
      <c r="I10" s="7"/>
      <c r="J10" s="7"/>
      <c r="K10" s="7"/>
      <c r="L10" s="7"/>
      <c r="M10" s="103"/>
    </row>
    <row r="11" spans="1:20" ht="15.75" customHeight="1" x14ac:dyDescent="0.25">
      <c r="G11" s="7"/>
      <c r="H11" s="8"/>
      <c r="I11" s="7"/>
      <c r="J11" s="7"/>
      <c r="K11" s="7"/>
      <c r="L11" s="7"/>
      <c r="M11" s="103"/>
    </row>
    <row r="12" spans="1:20" ht="15.75" customHeight="1" x14ac:dyDescent="0.25">
      <c r="G12" s="7"/>
      <c r="H12" s="8"/>
      <c r="I12" s="7"/>
      <c r="J12" s="7"/>
      <c r="K12" s="7"/>
      <c r="L12" s="7"/>
      <c r="M12" s="103"/>
    </row>
    <row r="13" spans="1:20" ht="15.75" customHeight="1" x14ac:dyDescent="0.3">
      <c r="B13" s="170"/>
      <c r="C13" s="138"/>
      <c r="D13" s="138"/>
      <c r="G13" s="7"/>
      <c r="H13" s="8" t="s">
        <v>153</v>
      </c>
      <c r="I13" s="7" t="s">
        <v>154</v>
      </c>
      <c r="J13" s="7" t="s">
        <v>155</v>
      </c>
      <c r="K13" s="7" t="s">
        <v>156</v>
      </c>
      <c r="L13" s="7" t="s">
        <v>157</v>
      </c>
      <c r="M13" s="103" t="s">
        <v>158</v>
      </c>
    </row>
    <row r="14" spans="1:20" ht="70.5" customHeight="1" x14ac:dyDescent="0.3">
      <c r="B14" s="169" t="s">
        <v>159</v>
      </c>
      <c r="C14" s="138"/>
      <c r="D14" s="138"/>
      <c r="F14" s="7">
        <v>3.1</v>
      </c>
      <c r="G14" s="10"/>
      <c r="H14" s="98" t="s">
        <v>141</v>
      </c>
      <c r="I14" s="8" t="s">
        <v>160</v>
      </c>
      <c r="J14" s="8" t="s">
        <v>161</v>
      </c>
      <c r="K14" s="8" t="s">
        <v>162</v>
      </c>
      <c r="L14" s="8" t="s">
        <v>163</v>
      </c>
      <c r="M14" s="8" t="s">
        <v>164</v>
      </c>
      <c r="N14" s="9" t="e">
        <f ca="1">_xludf.CONCAT(M14,M15)</f>
        <v>#NAME?</v>
      </c>
      <c r="O14" s="9" t="e">
        <f ca="1">_xludf.CONCAT(L14,L15)</f>
        <v>#NAME?</v>
      </c>
      <c r="P14" s="9" t="e">
        <f ca="1">_xludf.CONCAT(K14,K15)</f>
        <v>#NAME?</v>
      </c>
      <c r="Q14" s="9" t="e">
        <f ca="1">_xludf.CONCAT(J14,J15)</f>
        <v>#NAME?</v>
      </c>
      <c r="R14" s="9" t="e">
        <f ca="1">_xludf.CONCAT(I14,I15)</f>
        <v>#NAME?</v>
      </c>
      <c r="S14" s="9" t="e">
        <f ca="1">_xludf.CONCAT(H14,H15)</f>
        <v>#NAME?</v>
      </c>
    </row>
    <row r="15" spans="1:20" ht="66.75" customHeight="1" x14ac:dyDescent="0.3">
      <c r="B15" s="104"/>
      <c r="G15" s="10" t="s">
        <v>165</v>
      </c>
      <c r="H15" s="102" t="s">
        <v>133</v>
      </c>
      <c r="I15" s="8" t="s">
        <v>166</v>
      </c>
      <c r="J15" s="8" t="s">
        <v>167</v>
      </c>
      <c r="K15" s="8" t="s">
        <v>168</v>
      </c>
      <c r="L15" s="8" t="s">
        <v>169</v>
      </c>
      <c r="M15" s="8" t="s">
        <v>170</v>
      </c>
    </row>
    <row r="16" spans="1:20" ht="15.75" customHeight="1" x14ac:dyDescent="0.25">
      <c r="G16" s="7"/>
      <c r="H16" s="8"/>
      <c r="I16" s="8"/>
      <c r="J16" s="8"/>
      <c r="K16" s="8"/>
      <c r="L16" s="8"/>
      <c r="M16" s="105"/>
    </row>
    <row r="17" spans="2:19" ht="15.75" customHeight="1" x14ac:dyDescent="0.25">
      <c r="G17" s="7"/>
      <c r="H17" s="8"/>
      <c r="I17" s="8"/>
      <c r="J17" s="8"/>
      <c r="K17" s="8"/>
      <c r="L17" s="8"/>
      <c r="M17" s="8"/>
    </row>
    <row r="18" spans="2:19" ht="15.75" customHeight="1" x14ac:dyDescent="0.3">
      <c r="B18" s="169" t="s">
        <v>171</v>
      </c>
      <c r="C18" s="138"/>
      <c r="D18" s="138"/>
      <c r="F18" s="7">
        <v>3.2</v>
      </c>
      <c r="G18" s="7"/>
      <c r="H18" s="98" t="s">
        <v>141</v>
      </c>
      <c r="I18" s="8" t="s">
        <v>172</v>
      </c>
      <c r="J18" s="8" t="s">
        <v>173</v>
      </c>
      <c r="K18" s="8" t="s">
        <v>174</v>
      </c>
      <c r="L18" s="8" t="s">
        <v>175</v>
      </c>
      <c r="M18" s="8" t="s">
        <v>176</v>
      </c>
      <c r="N18" s="8" t="e">
        <f ca="1">_xludf.CONCAT(M18,M19)</f>
        <v>#NAME?</v>
      </c>
      <c r="O18" s="8" t="e">
        <f ca="1">_xludf.CONCAT(L18,L19)</f>
        <v>#NAME?</v>
      </c>
      <c r="P18" s="8" t="e">
        <f ca="1">_xludf.CONCAT(K18,K19)</f>
        <v>#NAME?</v>
      </c>
      <c r="Q18" s="8" t="e">
        <f ca="1">_xludf.CONCAT(J18,J19)</f>
        <v>#NAME?</v>
      </c>
      <c r="R18" s="8" t="e">
        <f ca="1">_xludf.CONCAT(I18,I19)</f>
        <v>#NAME?</v>
      </c>
      <c r="S18" s="8" t="e">
        <f ca="1">_xludf.CONCAT(H18,H19)</f>
        <v>#NAME?</v>
      </c>
    </row>
    <row r="19" spans="2:19" ht="15.75" customHeight="1" x14ac:dyDescent="0.25">
      <c r="G19" s="7"/>
      <c r="H19" s="102" t="s">
        <v>133</v>
      </c>
      <c r="I19" s="8"/>
      <c r="J19" s="8"/>
      <c r="K19" s="8" t="s">
        <v>177</v>
      </c>
      <c r="L19" s="8" t="s">
        <v>178</v>
      </c>
      <c r="M19" s="8"/>
    </row>
    <row r="20" spans="2:19" ht="15.75" customHeight="1" x14ac:dyDescent="0.25">
      <c r="G20" s="7"/>
      <c r="H20" s="8"/>
      <c r="I20" s="7"/>
      <c r="J20" s="7"/>
      <c r="K20" s="7"/>
      <c r="L20" s="7"/>
      <c r="M20" s="7"/>
    </row>
    <row r="21" spans="2:19" ht="15.75" customHeight="1" x14ac:dyDescent="0.25">
      <c r="G21" s="8"/>
      <c r="H21" s="8"/>
      <c r="I21" s="8"/>
      <c r="J21" s="8"/>
      <c r="K21" s="8"/>
      <c r="L21" s="8"/>
      <c r="M21" s="8"/>
    </row>
    <row r="22" spans="2:19" ht="15.75" customHeight="1" x14ac:dyDescent="0.25">
      <c r="G22" s="8"/>
      <c r="H22" s="8"/>
      <c r="I22" s="8"/>
      <c r="J22" s="8"/>
      <c r="K22" s="8"/>
      <c r="L22" s="8"/>
      <c r="M22" s="8"/>
    </row>
    <row r="23" spans="2:19" ht="15.75" customHeight="1" x14ac:dyDescent="0.25"/>
    <row r="24" spans="2:19" ht="15.75" customHeight="1" x14ac:dyDescent="0.25">
      <c r="H24" s="7" t="s">
        <v>179</v>
      </c>
      <c r="I24" s="7" t="s">
        <v>154</v>
      </c>
      <c r="J24" s="7" t="s">
        <v>180</v>
      </c>
      <c r="K24" s="7" t="s">
        <v>156</v>
      </c>
      <c r="L24" s="7" t="s">
        <v>181</v>
      </c>
      <c r="M24" s="7" t="s">
        <v>182</v>
      </c>
    </row>
    <row r="25" spans="2:19" ht="15.75" customHeight="1" x14ac:dyDescent="0.3">
      <c r="B25" s="170" t="s">
        <v>183</v>
      </c>
      <c r="C25" s="138"/>
      <c r="D25" s="138"/>
      <c r="G25" s="7" t="s">
        <v>184</v>
      </c>
      <c r="H25" s="9" t="s">
        <v>185</v>
      </c>
      <c r="I25" s="9" t="s">
        <v>186</v>
      </c>
      <c r="J25" s="9" t="s">
        <v>187</v>
      </c>
      <c r="K25" s="9" t="s">
        <v>188</v>
      </c>
      <c r="L25" s="9" t="s">
        <v>189</v>
      </c>
      <c r="M25" s="9" t="s">
        <v>190</v>
      </c>
    </row>
    <row r="26" spans="2:19" ht="15.75" customHeight="1" x14ac:dyDescent="0.25">
      <c r="G26" s="7" t="s">
        <v>191</v>
      </c>
    </row>
    <row r="27" spans="2:19" ht="15.75" customHeight="1" x14ac:dyDescent="0.25"/>
    <row r="28" spans="2:19" ht="15.75" customHeight="1" x14ac:dyDescent="0.25"/>
    <row r="29" spans="2:19" ht="15.75" customHeight="1" x14ac:dyDescent="0.25"/>
    <row r="30" spans="2:19" ht="15.75" customHeight="1" x14ac:dyDescent="0.25"/>
    <row r="31" spans="2:19" ht="15.75" customHeight="1" x14ac:dyDescent="0.25"/>
    <row r="32" spans="2: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14:D14"/>
    <mergeCell ref="B18:D18"/>
    <mergeCell ref="B25:D25"/>
    <mergeCell ref="B2:D2"/>
    <mergeCell ref="B5:D5"/>
    <mergeCell ref="B7:D7"/>
    <mergeCell ref="B8:D8"/>
    <mergeCell ref="B13:D1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H2"/>
    </sheetView>
  </sheetViews>
  <sheetFormatPr defaultColWidth="12.54296875" defaultRowHeight="15" customHeight="1" x14ac:dyDescent="0.25"/>
  <cols>
    <col min="1" max="1" width="8.90625" customWidth="1"/>
    <col min="2" max="2" width="23.90625" customWidth="1"/>
    <col min="3" max="3" width="115.90625" customWidth="1"/>
    <col min="4" max="4" width="15.453125" customWidth="1"/>
    <col min="5" max="5" width="12.453125" customWidth="1"/>
    <col min="6" max="6" width="13.90625" customWidth="1"/>
    <col min="7" max="7" width="14.08984375" customWidth="1"/>
    <col min="8" max="8" width="11.54296875" customWidth="1"/>
    <col min="9" max="26" width="8.90625" customWidth="1"/>
  </cols>
  <sheetData>
    <row r="1" spans="1:26" ht="12.75" customHeight="1" x14ac:dyDescent="0.25">
      <c r="A1" s="172" t="s">
        <v>192</v>
      </c>
      <c r="B1" s="173"/>
      <c r="C1" s="173"/>
      <c r="D1" s="173"/>
      <c r="E1" s="173"/>
      <c r="F1" s="173"/>
      <c r="G1" s="173"/>
      <c r="H1" s="174"/>
      <c r="I1" s="11"/>
      <c r="J1" s="11"/>
      <c r="K1" s="11"/>
      <c r="L1" s="11"/>
      <c r="M1" s="11"/>
      <c r="N1" s="11"/>
      <c r="O1" s="11"/>
      <c r="P1" s="11"/>
      <c r="Q1" s="11"/>
      <c r="R1" s="11"/>
      <c r="S1" s="11"/>
      <c r="T1" s="11"/>
      <c r="U1" s="11"/>
      <c r="V1" s="11"/>
      <c r="W1" s="11"/>
      <c r="X1" s="11"/>
      <c r="Y1" s="11"/>
      <c r="Z1" s="11"/>
    </row>
    <row r="2" spans="1:26" ht="12.75" customHeight="1" x14ac:dyDescent="0.25">
      <c r="A2" s="175"/>
      <c r="B2" s="138"/>
      <c r="C2" s="138"/>
      <c r="D2" s="138"/>
      <c r="E2" s="138"/>
      <c r="F2" s="138"/>
      <c r="G2" s="138"/>
      <c r="H2" s="176"/>
      <c r="I2" s="11"/>
      <c r="J2" s="11"/>
      <c r="K2" s="11"/>
      <c r="L2" s="11"/>
      <c r="M2" s="11"/>
      <c r="N2" s="11"/>
      <c r="O2" s="11"/>
      <c r="P2" s="11"/>
      <c r="Q2" s="11"/>
      <c r="R2" s="11"/>
      <c r="S2" s="11"/>
      <c r="T2" s="11"/>
      <c r="U2" s="11"/>
      <c r="V2" s="11"/>
      <c r="W2" s="11"/>
      <c r="X2" s="11"/>
      <c r="Y2" s="11"/>
      <c r="Z2" s="11"/>
    </row>
    <row r="3" spans="1:26" ht="15.75" customHeight="1" x14ac:dyDescent="0.25">
      <c r="A3" s="177" t="s">
        <v>65</v>
      </c>
      <c r="B3" s="138"/>
      <c r="C3" s="106" t="s">
        <v>2</v>
      </c>
      <c r="D3" s="178" t="s">
        <v>98</v>
      </c>
      <c r="E3" s="138"/>
      <c r="F3" s="138"/>
      <c r="G3" s="138"/>
      <c r="H3" s="176"/>
      <c r="I3" s="11"/>
      <c r="J3" s="11"/>
      <c r="K3" s="179" t="s">
        <v>193</v>
      </c>
      <c r="L3" s="138"/>
      <c r="M3" s="138"/>
      <c r="N3" s="138"/>
      <c r="O3" s="107"/>
      <c r="P3" s="11"/>
      <c r="Q3" s="11"/>
      <c r="R3" s="11"/>
      <c r="S3" s="11"/>
      <c r="T3" s="11"/>
      <c r="U3" s="11"/>
      <c r="V3" s="11"/>
      <c r="W3" s="11"/>
      <c r="X3" s="11"/>
      <c r="Y3" s="11"/>
      <c r="Z3" s="11"/>
    </row>
    <row r="4" spans="1:26" ht="12.75" customHeight="1" x14ac:dyDescent="0.25">
      <c r="A4" s="12"/>
      <c r="B4" s="13"/>
      <c r="C4" s="13"/>
      <c r="D4" s="14">
        <v>1</v>
      </c>
      <c r="E4" s="15">
        <v>2</v>
      </c>
      <c r="F4" s="15">
        <v>3</v>
      </c>
      <c r="G4" s="15">
        <v>4</v>
      </c>
      <c r="H4" s="16">
        <v>5</v>
      </c>
      <c r="I4" s="11"/>
      <c r="J4" s="11"/>
      <c r="K4" s="11"/>
      <c r="L4" s="11"/>
      <c r="M4" s="11"/>
      <c r="N4" s="11"/>
      <c r="O4" s="11"/>
      <c r="P4" s="11"/>
      <c r="Q4" s="11"/>
      <c r="R4" s="11"/>
      <c r="S4" s="11"/>
      <c r="T4" s="11"/>
      <c r="U4" s="11"/>
      <c r="V4" s="11"/>
      <c r="W4" s="11"/>
      <c r="X4" s="11"/>
      <c r="Y4" s="11"/>
      <c r="Z4" s="11"/>
    </row>
    <row r="5" spans="1:26" ht="12.75" customHeight="1" x14ac:dyDescent="0.25">
      <c r="A5" s="17"/>
      <c r="B5" s="11"/>
      <c r="C5" s="11"/>
      <c r="D5" s="18" t="s">
        <v>194</v>
      </c>
      <c r="E5" s="19" t="s">
        <v>195</v>
      </c>
      <c r="F5" s="19" t="s">
        <v>108</v>
      </c>
      <c r="G5" s="19" t="s">
        <v>111</v>
      </c>
      <c r="H5" s="20" t="s">
        <v>114</v>
      </c>
      <c r="I5" s="11"/>
      <c r="J5" s="11"/>
      <c r="K5" s="11"/>
      <c r="L5" s="11"/>
      <c r="M5" s="11"/>
      <c r="N5" s="11"/>
      <c r="O5" s="11"/>
      <c r="P5" s="11"/>
      <c r="Q5" s="11"/>
      <c r="R5" s="11"/>
      <c r="S5" s="11"/>
      <c r="T5" s="11"/>
      <c r="U5" s="11"/>
      <c r="V5" s="11"/>
      <c r="W5" s="11"/>
      <c r="X5" s="11"/>
      <c r="Y5" s="11"/>
      <c r="Z5" s="11"/>
    </row>
    <row r="6" spans="1:26" ht="12.75" customHeight="1" x14ac:dyDescent="0.25">
      <c r="A6" s="17"/>
      <c r="B6" s="11"/>
      <c r="C6" s="11"/>
      <c r="D6" s="21"/>
      <c r="E6" s="22"/>
      <c r="F6" s="22"/>
      <c r="G6" s="22"/>
      <c r="H6" s="23"/>
      <c r="I6" s="11"/>
      <c r="J6" s="11"/>
      <c r="K6" s="11"/>
      <c r="L6" s="11"/>
      <c r="M6" s="11"/>
      <c r="N6" s="11"/>
      <c r="O6" s="11"/>
      <c r="P6" s="11"/>
      <c r="Q6" s="11"/>
      <c r="R6" s="11"/>
      <c r="S6" s="11"/>
      <c r="T6" s="11"/>
      <c r="U6" s="11"/>
      <c r="V6" s="11"/>
      <c r="W6" s="11"/>
      <c r="X6" s="11"/>
      <c r="Y6" s="11"/>
      <c r="Z6" s="11"/>
    </row>
    <row r="7" spans="1:26" ht="39.75" customHeight="1" x14ac:dyDescent="0.25">
      <c r="A7" s="24">
        <v>1</v>
      </c>
      <c r="B7" s="25" t="s">
        <v>79</v>
      </c>
      <c r="C7" s="25" t="s">
        <v>196</v>
      </c>
      <c r="D7" s="26" t="s">
        <v>197</v>
      </c>
      <c r="E7" s="27" t="s">
        <v>197</v>
      </c>
      <c r="F7" s="27" t="s">
        <v>197</v>
      </c>
      <c r="G7" s="26" t="s">
        <v>197</v>
      </c>
      <c r="H7" s="26" t="s">
        <v>197</v>
      </c>
      <c r="I7" s="28"/>
      <c r="J7" s="28"/>
      <c r="K7" s="28"/>
      <c r="L7" s="28"/>
      <c r="M7" s="28"/>
      <c r="N7" s="28"/>
      <c r="O7" s="28"/>
      <c r="P7" s="28"/>
      <c r="Q7" s="28"/>
      <c r="R7" s="28"/>
      <c r="S7" s="28"/>
      <c r="T7" s="28"/>
      <c r="U7" s="28"/>
      <c r="V7" s="28"/>
      <c r="W7" s="28"/>
      <c r="X7" s="28"/>
      <c r="Y7" s="28"/>
      <c r="Z7" s="28"/>
    </row>
    <row r="8" spans="1:26" ht="39.75" customHeight="1" x14ac:dyDescent="0.25">
      <c r="A8" s="24">
        <v>2</v>
      </c>
      <c r="B8" s="25" t="s">
        <v>81</v>
      </c>
      <c r="C8" s="25" t="s">
        <v>198</v>
      </c>
      <c r="D8" s="26" t="s">
        <v>197</v>
      </c>
      <c r="E8" s="27" t="s">
        <v>197</v>
      </c>
      <c r="F8" s="27" t="s">
        <v>197</v>
      </c>
      <c r="G8" s="26"/>
      <c r="H8" s="26" t="s">
        <v>197</v>
      </c>
      <c r="I8" s="28"/>
      <c r="J8" s="28"/>
      <c r="K8" s="28"/>
      <c r="L8" s="28"/>
      <c r="M8" s="28"/>
      <c r="N8" s="28"/>
      <c r="O8" s="28"/>
      <c r="P8" s="28"/>
      <c r="Q8" s="28"/>
      <c r="R8" s="28"/>
      <c r="S8" s="28"/>
      <c r="T8" s="28"/>
      <c r="U8" s="28"/>
      <c r="V8" s="28"/>
      <c r="W8" s="28"/>
      <c r="X8" s="28"/>
      <c r="Y8" s="28"/>
      <c r="Z8" s="28"/>
    </row>
    <row r="9" spans="1:26" ht="39.75" customHeight="1" x14ac:dyDescent="0.25">
      <c r="A9" s="29">
        <v>9</v>
      </c>
      <c r="B9" s="30" t="s">
        <v>71</v>
      </c>
      <c r="C9" s="31" t="s">
        <v>199</v>
      </c>
      <c r="D9" s="32" t="s">
        <v>197</v>
      </c>
      <c r="E9" s="33" t="s">
        <v>197</v>
      </c>
      <c r="F9" s="33" t="s">
        <v>197</v>
      </c>
      <c r="G9" s="32" t="s">
        <v>197</v>
      </c>
      <c r="H9" s="32"/>
      <c r="I9" s="28"/>
      <c r="J9" s="28"/>
      <c r="K9" s="28"/>
      <c r="L9" s="28"/>
      <c r="M9" s="28"/>
      <c r="N9" s="28"/>
      <c r="O9" s="28"/>
      <c r="P9" s="28"/>
      <c r="Q9" s="28"/>
      <c r="R9" s="28"/>
      <c r="S9" s="28"/>
      <c r="T9" s="28"/>
      <c r="U9" s="28"/>
      <c r="V9" s="28"/>
      <c r="W9" s="28"/>
      <c r="X9" s="28"/>
      <c r="Y9" s="28"/>
      <c r="Z9" s="28"/>
    </row>
    <row r="10" spans="1:26" ht="39.75" customHeight="1" x14ac:dyDescent="0.25">
      <c r="A10" s="29">
        <v>10</v>
      </c>
      <c r="B10" s="30" t="s">
        <v>74</v>
      </c>
      <c r="C10" s="31" t="s">
        <v>200</v>
      </c>
      <c r="D10" s="32" t="s">
        <v>197</v>
      </c>
      <c r="E10" s="33" t="s">
        <v>197</v>
      </c>
      <c r="F10" s="33" t="s">
        <v>197</v>
      </c>
      <c r="G10" s="32" t="s">
        <v>197</v>
      </c>
      <c r="H10" s="32" t="s">
        <v>197</v>
      </c>
      <c r="I10" s="28"/>
      <c r="J10" s="28"/>
      <c r="K10" s="28"/>
      <c r="L10" s="28"/>
      <c r="M10" s="28"/>
      <c r="N10" s="28"/>
      <c r="O10" s="28"/>
      <c r="P10" s="28"/>
      <c r="Q10" s="28"/>
      <c r="R10" s="28"/>
      <c r="S10" s="28"/>
      <c r="T10" s="28"/>
      <c r="U10" s="28"/>
      <c r="V10" s="28"/>
      <c r="W10" s="28"/>
      <c r="X10" s="28"/>
      <c r="Y10" s="28"/>
      <c r="Z10" s="28"/>
    </row>
    <row r="11" spans="1:26" ht="39.75" customHeight="1" x14ac:dyDescent="0.25">
      <c r="A11" s="34">
        <v>11</v>
      </c>
      <c r="B11" s="30" t="s">
        <v>76</v>
      </c>
      <c r="C11" s="31" t="s">
        <v>201</v>
      </c>
      <c r="D11" s="35" t="s">
        <v>197</v>
      </c>
      <c r="E11" s="36" t="s">
        <v>197</v>
      </c>
      <c r="F11" s="36" t="s">
        <v>197</v>
      </c>
      <c r="G11" s="35" t="s">
        <v>197</v>
      </c>
      <c r="H11" s="35" t="s">
        <v>197</v>
      </c>
      <c r="I11" s="11"/>
      <c r="J11" s="11"/>
      <c r="K11" s="11"/>
      <c r="L11" s="11"/>
      <c r="M11" s="11"/>
      <c r="N11" s="11"/>
      <c r="O11" s="11"/>
      <c r="P11" s="11"/>
      <c r="Q11" s="11"/>
      <c r="R11" s="11"/>
      <c r="S11" s="11"/>
      <c r="T11" s="11"/>
      <c r="U11" s="11"/>
      <c r="V11" s="11"/>
      <c r="W11" s="11"/>
      <c r="X11" s="11"/>
      <c r="Y11" s="11"/>
      <c r="Z11" s="11"/>
    </row>
    <row r="12" spans="1:26" ht="12.75" customHeight="1"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2.75" customHeight="1"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2.75" customHeight="1"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2.75" customHeight="1"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2.75" customHeight="1"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2.75" customHeight="1"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2.75" customHeight="1"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2.75" customHeight="1"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2.75" customHeight="1"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2.75" customHeight="1"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2.75" customHeight="1"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2.75" customHeight="1"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2.75" customHeight="1"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2.75" customHeight="1"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2.75" customHeight="1"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2.75" customHeight="1"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2.75" customHeight="1"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2.75" customHeight="1"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2.75" customHeight="1"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2.75" customHeight="1"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2.75" customHeight="1"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2.75" customHeight="1"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2.75" customHeight="1"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2.75" customHeight="1"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2.75" customHeight="1"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2.75" customHeight="1"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2.75" customHeight="1"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2.75" customHeight="1"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2.75" customHeight="1"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2.75" customHeight="1"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2.75" customHeight="1"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2.75" customHeight="1"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2.75" customHeight="1"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2.75" customHeight="1"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2.75" customHeight="1"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2.75" customHeight="1"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2.75" customHeight="1"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2.75" customHeight="1"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2.75" customHeight="1"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2.75" customHeight="1"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2.75" customHeight="1"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2.75" customHeight="1"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2.75" customHeight="1"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2.75" customHeight="1"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2.75" customHeight="1"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2.75" customHeight="1"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2.75" customHeight="1"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2.75" customHeight="1"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2.75" customHeight="1"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2.75" customHeight="1"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2.75" customHeight="1"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2.75" customHeight="1"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2.75" customHeight="1"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2.75" customHeight="1"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2.75" customHeight="1"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2.75" customHeight="1"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2.75" customHeight="1"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2.75" customHeight="1"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2.75" customHeight="1"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2.75" customHeight="1"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2.75" customHeight="1"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2.75" customHeight="1"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2.75" customHeight="1"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2.75" customHeight="1"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2.75" customHeight="1"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2.75" customHeight="1"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2.75" customHeight="1"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2.75" customHeight="1"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2.75" customHeight="1"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2.75" customHeight="1"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2.75" customHeight="1"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2.75" customHeight="1"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2.75" customHeight="1"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2.75" customHeight="1"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2.75" customHeight="1"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2.75" customHeight="1"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2.75" customHeight="1"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2.75" customHeight="1"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2.75" customHeight="1"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2.75" customHeight="1"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2.75" customHeight="1"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2.75" customHeight="1"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2.75" customHeight="1"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2.75" customHeight="1"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2.75" customHeight="1"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2.75" customHeight="1"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2.75" customHeight="1"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2.75" customHeight="1"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2.75" customHeight="1"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2.75" customHeight="1"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2.75" customHeight="1"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2.75" customHeight="1"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2.75" customHeight="1"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2.75" customHeight="1"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2.75" customHeight="1"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2.75" customHeight="1"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2.75" customHeight="1"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2.75" customHeight="1"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2.75" customHeight="1" x14ac:dyDescent="0.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2.75" customHeight="1" x14ac:dyDescent="0.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2.75" customHeight="1" x14ac:dyDescent="0.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2.75" customHeight="1" x14ac:dyDescent="0.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2.75" customHeight="1" x14ac:dyDescent="0.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2.75" customHeight="1" x14ac:dyDescent="0.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2.75" customHeight="1"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2.75" customHeight="1"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2.75" customHeight="1"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2.75" customHeight="1" x14ac:dyDescent="0.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2.75" customHeight="1" x14ac:dyDescent="0.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2.75" customHeight="1"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2.7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2.75" customHeight="1"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2.75" customHeight="1" x14ac:dyDescent="0.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2.75" customHeight="1" x14ac:dyDescent="0.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2.75" customHeight="1" x14ac:dyDescent="0.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2.75" customHeight="1"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2.75" customHeight="1" x14ac:dyDescent="0.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2.75" customHeight="1"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2.75" customHeight="1"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2.75" customHeight="1" x14ac:dyDescent="0.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2.75" customHeight="1" x14ac:dyDescent="0.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2.75" customHeight="1"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2.75" customHeight="1"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2.75" customHeight="1"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2.75" customHeight="1"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2.75" customHeight="1"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2.75" customHeight="1"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2.75" customHeight="1"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2.75" customHeight="1"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2.75" customHeight="1"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2.75" customHeight="1"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2.75" customHeight="1"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2.75" customHeight="1"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2.75" customHeight="1"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2.75" customHeight="1"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2.75" customHeight="1"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2.75" customHeight="1"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2.75" customHeight="1"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2.75" customHeight="1"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2.75" customHeight="1"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2.75" customHeight="1"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2.75" customHeight="1"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2.75" customHeight="1"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2.75" customHeight="1"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2.75" customHeight="1"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2.75" customHeight="1"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2.75" customHeight="1"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2.75" customHeight="1"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2.75" customHeight="1"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2.75" customHeight="1"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2.75" customHeight="1"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2.75" customHeight="1"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2.75" customHeight="1"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2.75" customHeight="1"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2.75" customHeight="1"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2.75" customHeight="1"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2.75" customHeight="1"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2.75" customHeight="1"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2.75" customHeight="1"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2.75" customHeight="1"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2.75" customHeight="1"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2.75" customHeight="1"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2.75" customHeight="1"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2.75" customHeight="1"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2.75" customHeight="1"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2.75" customHeight="1"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2.75" customHeight="1"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2.75" customHeight="1"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2.75" customHeight="1"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2.75" customHeight="1"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2.75" customHeight="1"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2.75" customHeight="1"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75" customHeight="1"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75" customHeight="1"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75" customHeight="1"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75" customHeight="1"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75" customHeight="1"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75" customHeight="1"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75" customHeight="1"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75" customHeight="1"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75" customHeight="1"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75" customHeight="1"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75" customHeight="1"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75" customHeight="1"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75" customHeight="1"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75" customHeight="1"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75" customHeight="1"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75" customHeight="1"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75" customHeight="1"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75" customHeight="1"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75" customHeight="1"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75" customHeight="1"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75" customHeight="1"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75" customHeight="1"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75" customHeight="1"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75" customHeight="1"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75" customHeight="1"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75" customHeight="1"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75" customHeight="1"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75" customHeight="1"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75" customHeight="1"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75" customHeight="1"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75" customHeight="1"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75" customHeight="1"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75" customHeight="1"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75" customHeight="1"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75" customHeight="1"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75" customHeight="1"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75" customHeight="1"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75" customHeight="1"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75" customHeight="1"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75" customHeight="1"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75" customHeight="1"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75" customHeight="1"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75" customHeight="1"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75" customHeight="1"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75" customHeight="1"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75" customHeight="1"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75" customHeight="1"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75" customHeight="1"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75" customHeight="1"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75" customHeight="1"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75" customHeight="1"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75" customHeight="1"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75" customHeight="1"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75" customHeight="1"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75" customHeight="1"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75" customHeight="1"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75" customHeight="1"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75" customHeight="1"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75" customHeight="1"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75" customHeight="1"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75" customHeight="1"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75" customHeight="1"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75" customHeight="1"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75" customHeight="1"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75" customHeight="1"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75" customHeight="1"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75" customHeight="1"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75" customHeight="1"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75" customHeight="1"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75" customHeight="1"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75" customHeight="1"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75" customHeight="1"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75" customHeight="1"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75" customHeight="1"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75" customHeight="1"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75" customHeight="1"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75" customHeight="1"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75" customHeight="1"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75" customHeight="1"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75" customHeight="1"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75" customHeight="1"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75" customHeight="1"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75" customHeight="1"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75" customHeight="1"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75" customHeight="1"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75" customHeight="1"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75" customHeight="1"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75" customHeight="1"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75" customHeight="1"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75" customHeight="1"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75" customHeight="1"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75" customHeight="1"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75" customHeight="1"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75" customHeight="1"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75" customHeight="1"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75" customHeight="1"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75" customHeight="1"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75" customHeight="1"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75" customHeight="1"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75" customHeight="1"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75" customHeight="1"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75" customHeight="1"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75" customHeight="1"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75" customHeight="1"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75" customHeight="1"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75" customHeight="1"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75" customHeight="1"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75" customHeight="1"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75" customHeight="1"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75" customHeight="1"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75" customHeight="1"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75" customHeight="1"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75" customHeight="1"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75" customHeight="1"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75" customHeight="1"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75" customHeight="1"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75" customHeight="1"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75" customHeight="1"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75" customHeight="1"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75" customHeight="1"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75" customHeight="1"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75" customHeight="1"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75" customHeight="1"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75" customHeight="1"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75" customHeight="1"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75" customHeight="1"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75" customHeight="1"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75" customHeight="1"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75" customHeight="1"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75" customHeight="1"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75" customHeight="1"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75" customHeight="1"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75" customHeight="1"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75" customHeight="1"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75" customHeight="1"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75" customHeight="1"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75" customHeight="1"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75" customHeight="1"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75" customHeight="1"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75" customHeight="1"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75" customHeight="1" x14ac:dyDescent="0.2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75" customHeight="1" x14ac:dyDescent="0.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75" customHeight="1"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75" customHeight="1"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75" customHeight="1" x14ac:dyDescent="0.2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75" customHeight="1" x14ac:dyDescent="0.2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75" customHeight="1" x14ac:dyDescent="0.2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75" customHeight="1" x14ac:dyDescent="0.2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75" customHeight="1" x14ac:dyDescent="0.2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75" customHeight="1" x14ac:dyDescent="0.2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75" customHeight="1" x14ac:dyDescent="0.2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75" customHeight="1" x14ac:dyDescent="0.2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75" customHeight="1" x14ac:dyDescent="0.2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75" customHeight="1" x14ac:dyDescent="0.2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75" customHeight="1" x14ac:dyDescent="0.2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75" customHeight="1" x14ac:dyDescent="0.2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75" customHeight="1" x14ac:dyDescent="0.2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75" customHeight="1" x14ac:dyDescent="0.2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75" customHeight="1" x14ac:dyDescent="0.2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75" customHeight="1" x14ac:dyDescent="0.2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75" customHeight="1" x14ac:dyDescent="0.2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75" customHeight="1" x14ac:dyDescent="0.2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75" customHeight="1" x14ac:dyDescent="0.2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75" customHeight="1" x14ac:dyDescent="0.2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75" customHeight="1" x14ac:dyDescent="0.2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75" customHeight="1" x14ac:dyDescent="0.2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75" customHeight="1" x14ac:dyDescent="0.2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75" customHeight="1" x14ac:dyDescent="0.2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75" customHeight="1" x14ac:dyDescent="0.2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75" customHeight="1" x14ac:dyDescent="0.2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customHeight="1" x14ac:dyDescent="0.2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customHeight="1" x14ac:dyDescent="0.2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customHeight="1" x14ac:dyDescent="0.2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customHeight="1" x14ac:dyDescent="0.2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customHeight="1" x14ac:dyDescent="0.2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customHeight="1" x14ac:dyDescent="0.2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customHeight="1" x14ac:dyDescent="0.2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customHeight="1" x14ac:dyDescent="0.2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customHeight="1" x14ac:dyDescent="0.2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customHeight="1"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customHeight="1" x14ac:dyDescent="0.2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customHeight="1" x14ac:dyDescent="0.2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customHeight="1" x14ac:dyDescent="0.2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customHeight="1" x14ac:dyDescent="0.2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customHeight="1" x14ac:dyDescent="0.2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customHeight="1" x14ac:dyDescent="0.2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customHeight="1" x14ac:dyDescent="0.2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customHeight="1"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customHeight="1"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customHeight="1"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customHeight="1"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customHeight="1"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customHeight="1"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customHeight="1"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customHeight="1"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customHeight="1"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customHeight="1"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customHeight="1"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customHeight="1"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customHeight="1"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customHeight="1"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customHeight="1"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customHeight="1"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customHeight="1"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customHeight="1"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customHeight="1"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customHeight="1"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customHeight="1"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customHeight="1"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customHeight="1"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customHeight="1"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customHeight="1"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customHeight="1"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customHeight="1"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customHeight="1"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customHeight="1"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customHeight="1"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customHeight="1"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customHeight="1"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customHeight="1"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customHeight="1"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customHeight="1"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customHeight="1"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customHeight="1"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customHeight="1"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customHeight="1"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customHeight="1"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customHeight="1"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customHeight="1"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customHeight="1"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customHeight="1"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customHeight="1"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customHeight="1"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customHeight="1"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customHeight="1"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customHeight="1"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customHeight="1"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customHeight="1"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customHeight="1"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customHeight="1"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customHeight="1"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customHeight="1"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customHeight="1"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customHeight="1"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customHeight="1"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customHeight="1"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customHeight="1"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customHeight="1"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customHeight="1"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customHeight="1"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customHeight="1"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customHeight="1"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customHeight="1"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customHeight="1"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customHeight="1"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customHeight="1"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customHeight="1"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customHeight="1"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customHeight="1"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customHeight="1"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customHeight="1"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customHeight="1"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customHeight="1"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customHeight="1"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customHeight="1"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customHeight="1"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customHeight="1"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customHeight="1"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customHeight="1"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customHeight="1"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customHeight="1"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customHeight="1"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customHeight="1"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customHeight="1"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customHeight="1"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customHeight="1"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customHeight="1"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customHeight="1"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customHeight="1"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customHeight="1"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customHeight="1"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customHeight="1"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customHeight="1"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customHeight="1"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customHeight="1"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customHeight="1"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customHeight="1"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customHeight="1"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customHeight="1"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customHeight="1"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customHeight="1"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customHeight="1"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customHeight="1"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customHeight="1"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customHeight="1"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customHeight="1"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customHeight="1"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customHeight="1"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customHeight="1"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customHeight="1"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customHeight="1"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customHeight="1"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customHeight="1"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customHeight="1"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customHeight="1"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customHeight="1"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customHeight="1"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customHeight="1"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customHeight="1"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customHeight="1"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customHeight="1"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customHeight="1"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customHeight="1"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customHeight="1"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customHeight="1"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customHeight="1"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customHeight="1"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customHeight="1"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customHeight="1"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customHeight="1"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customHeight="1"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customHeight="1"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customHeight="1"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customHeight="1"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customHeight="1"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customHeight="1"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customHeight="1"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customHeight="1"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customHeight="1"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customHeight="1"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customHeight="1"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customHeight="1"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customHeight="1"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customHeight="1"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customHeight="1"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customHeight="1"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customHeight="1"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customHeight="1"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customHeight="1"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customHeight="1"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customHeight="1"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customHeight="1"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customHeight="1"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customHeight="1"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customHeight="1"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customHeight="1"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customHeight="1"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customHeight="1"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customHeight="1"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customHeight="1"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customHeight="1"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customHeight="1"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customHeight="1"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customHeight="1"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customHeight="1"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customHeight="1"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customHeight="1"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customHeight="1"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customHeight="1"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customHeight="1"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customHeight="1"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customHeight="1"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customHeight="1"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customHeight="1"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customHeight="1"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customHeight="1"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customHeight="1"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customHeight="1"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customHeight="1"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customHeight="1"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customHeight="1"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customHeight="1"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customHeight="1"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customHeight="1"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customHeight="1"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customHeight="1"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customHeight="1"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customHeight="1"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customHeight="1"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customHeight="1"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customHeight="1"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customHeight="1"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customHeight="1"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customHeight="1"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customHeight="1"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customHeight="1"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customHeight="1"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customHeight="1"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customHeight="1"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customHeight="1"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customHeight="1"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customHeight="1"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customHeight="1"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customHeight="1"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customHeight="1"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customHeight="1"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customHeight="1"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customHeight="1"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customHeight="1"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customHeight="1"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customHeight="1"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customHeight="1"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customHeight="1"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customHeight="1"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customHeight="1"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customHeight="1"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customHeight="1"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customHeight="1"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customHeight="1"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customHeight="1"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customHeight="1"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customHeight="1"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customHeight="1"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customHeight="1"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customHeight="1"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customHeight="1"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customHeight="1"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customHeight="1"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customHeight="1"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customHeight="1"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customHeight="1"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customHeight="1"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customHeight="1"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customHeight="1"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customHeight="1"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customHeight="1"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customHeight="1"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customHeight="1"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customHeight="1"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customHeight="1"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customHeight="1"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customHeight="1"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customHeight="1"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customHeight="1"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customHeight="1"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customHeight="1"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customHeight="1"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customHeight="1"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customHeight="1"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customHeight="1"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customHeight="1"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customHeight="1"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customHeight="1"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customHeight="1"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customHeight="1"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customHeight="1"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customHeight="1"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customHeight="1"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customHeight="1"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customHeight="1"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customHeight="1"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customHeight="1"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customHeight="1"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customHeight="1"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customHeight="1"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customHeight="1"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customHeight="1"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customHeight="1"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customHeight="1"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customHeight="1"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customHeight="1"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customHeight="1"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customHeight="1"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customHeight="1"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customHeight="1"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customHeight="1"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customHeight="1"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customHeight="1"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customHeight="1"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customHeight="1"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customHeight="1"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customHeight="1"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customHeight="1"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customHeight="1"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customHeight="1"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customHeight="1"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customHeight="1"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customHeight="1"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customHeight="1"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customHeight="1"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customHeight="1"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customHeight="1"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customHeight="1"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customHeight="1"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customHeight="1"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customHeight="1"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customHeight="1"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customHeight="1"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customHeight="1"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customHeight="1"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customHeight="1"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customHeight="1"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customHeight="1"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customHeight="1"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customHeight="1"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customHeight="1"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customHeight="1"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customHeight="1"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customHeight="1"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customHeight="1"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customHeight="1"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customHeight="1"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customHeight="1"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customHeight="1"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customHeight="1"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customHeight="1"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customHeight="1"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customHeight="1"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customHeight="1"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customHeight="1"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customHeight="1"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customHeight="1"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customHeight="1"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customHeight="1"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customHeight="1"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customHeight="1"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customHeight="1"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customHeight="1"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customHeight="1"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customHeight="1"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customHeight="1"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customHeight="1"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customHeight="1"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customHeight="1"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customHeight="1"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customHeight="1"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customHeight="1"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customHeight="1"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customHeight="1"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customHeight="1"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customHeight="1"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customHeight="1"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customHeight="1"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customHeight="1"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customHeight="1"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customHeight="1"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customHeight="1"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customHeight="1"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customHeight="1"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customHeight="1"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customHeight="1"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customHeight="1"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customHeight="1"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customHeight="1"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customHeight="1"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customHeight="1"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customHeight="1"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customHeight="1"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customHeight="1"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customHeight="1"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customHeight="1"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customHeight="1"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customHeight="1"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customHeight="1"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customHeight="1"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customHeight="1"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customHeight="1"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customHeight="1"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customHeight="1"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customHeight="1"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customHeight="1"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customHeight="1"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customHeight="1"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customHeight="1"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customHeight="1"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customHeight="1"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customHeight="1"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customHeight="1"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customHeight="1"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customHeight="1"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customHeight="1"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customHeight="1"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customHeight="1"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customHeight="1"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customHeight="1"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customHeight="1" x14ac:dyDescent="0.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customHeight="1" x14ac:dyDescent="0.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customHeight="1" x14ac:dyDescent="0.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customHeight="1" x14ac:dyDescent="0.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customHeight="1" x14ac:dyDescent="0.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customHeight="1" x14ac:dyDescent="0.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customHeight="1" x14ac:dyDescent="0.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customHeight="1" x14ac:dyDescent="0.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customHeight="1" x14ac:dyDescent="0.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customHeight="1" x14ac:dyDescent="0.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customHeight="1" x14ac:dyDescent="0.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customHeight="1" x14ac:dyDescent="0.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customHeight="1" x14ac:dyDescent="0.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customHeight="1" x14ac:dyDescent="0.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customHeight="1" x14ac:dyDescent="0.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customHeight="1" x14ac:dyDescent="0.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customHeight="1" x14ac:dyDescent="0.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customHeight="1" x14ac:dyDescent="0.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customHeight="1" x14ac:dyDescent="0.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customHeight="1" x14ac:dyDescent="0.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customHeight="1" x14ac:dyDescent="0.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customHeight="1" x14ac:dyDescent="0.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customHeight="1" x14ac:dyDescent="0.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customHeight="1" x14ac:dyDescent="0.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customHeight="1" x14ac:dyDescent="0.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customHeight="1" x14ac:dyDescent="0.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customHeight="1" x14ac:dyDescent="0.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customHeight="1" x14ac:dyDescent="0.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customHeight="1" x14ac:dyDescent="0.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customHeight="1" x14ac:dyDescent="0.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customHeight="1" x14ac:dyDescent="0.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customHeight="1" x14ac:dyDescent="0.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customHeight="1" x14ac:dyDescent="0.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customHeight="1" x14ac:dyDescent="0.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customHeight="1" x14ac:dyDescent="0.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customHeight="1" x14ac:dyDescent="0.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customHeight="1" x14ac:dyDescent="0.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customHeight="1" x14ac:dyDescent="0.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customHeight="1" x14ac:dyDescent="0.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customHeight="1" x14ac:dyDescent="0.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customHeight="1" x14ac:dyDescent="0.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customHeight="1" x14ac:dyDescent="0.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customHeight="1" x14ac:dyDescent="0.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customHeight="1" x14ac:dyDescent="0.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customHeight="1" x14ac:dyDescent="0.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customHeight="1" x14ac:dyDescent="0.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customHeight="1" x14ac:dyDescent="0.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customHeight="1" x14ac:dyDescent="0.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customHeight="1" x14ac:dyDescent="0.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customHeight="1" x14ac:dyDescent="0.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customHeight="1" x14ac:dyDescent="0.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customHeight="1" x14ac:dyDescent="0.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customHeight="1" x14ac:dyDescent="0.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customHeight="1" x14ac:dyDescent="0.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customHeight="1" x14ac:dyDescent="0.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customHeight="1" x14ac:dyDescent="0.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customHeight="1" x14ac:dyDescent="0.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customHeight="1" x14ac:dyDescent="0.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customHeight="1" x14ac:dyDescent="0.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customHeight="1" x14ac:dyDescent="0.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customHeight="1" x14ac:dyDescent="0.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customHeight="1" x14ac:dyDescent="0.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customHeight="1" x14ac:dyDescent="0.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customHeight="1" x14ac:dyDescent="0.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customHeight="1" x14ac:dyDescent="0.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customHeight="1" x14ac:dyDescent="0.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customHeight="1" x14ac:dyDescent="0.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customHeight="1" x14ac:dyDescent="0.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customHeight="1" x14ac:dyDescent="0.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customHeight="1" x14ac:dyDescent="0.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customHeight="1" x14ac:dyDescent="0.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customHeight="1" x14ac:dyDescent="0.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customHeight="1" x14ac:dyDescent="0.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customHeight="1" x14ac:dyDescent="0.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customHeight="1" x14ac:dyDescent="0.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customHeight="1" x14ac:dyDescent="0.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customHeight="1" x14ac:dyDescent="0.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customHeight="1" x14ac:dyDescent="0.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customHeight="1" x14ac:dyDescent="0.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customHeight="1" x14ac:dyDescent="0.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customHeight="1" x14ac:dyDescent="0.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customHeight="1" x14ac:dyDescent="0.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customHeight="1" x14ac:dyDescent="0.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customHeight="1" x14ac:dyDescent="0.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customHeight="1" x14ac:dyDescent="0.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customHeight="1" x14ac:dyDescent="0.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customHeight="1" x14ac:dyDescent="0.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customHeight="1" x14ac:dyDescent="0.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customHeight="1" x14ac:dyDescent="0.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customHeight="1" x14ac:dyDescent="0.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customHeight="1" x14ac:dyDescent="0.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customHeight="1" x14ac:dyDescent="0.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customHeight="1" x14ac:dyDescent="0.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customHeight="1" x14ac:dyDescent="0.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customHeight="1" x14ac:dyDescent="0.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customHeight="1" x14ac:dyDescent="0.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customHeight="1" x14ac:dyDescent="0.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customHeight="1" x14ac:dyDescent="0.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customHeight="1" x14ac:dyDescent="0.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customHeight="1" x14ac:dyDescent="0.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customHeight="1" x14ac:dyDescent="0.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customHeight="1" x14ac:dyDescent="0.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customHeight="1" x14ac:dyDescent="0.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customHeight="1" x14ac:dyDescent="0.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customHeight="1" x14ac:dyDescent="0.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customHeight="1" x14ac:dyDescent="0.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customHeight="1" x14ac:dyDescent="0.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customHeight="1" x14ac:dyDescent="0.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customHeight="1" x14ac:dyDescent="0.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customHeight="1" x14ac:dyDescent="0.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customHeight="1" x14ac:dyDescent="0.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customHeight="1" x14ac:dyDescent="0.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customHeight="1" x14ac:dyDescent="0.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customHeight="1" x14ac:dyDescent="0.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customHeight="1" x14ac:dyDescent="0.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customHeight="1" x14ac:dyDescent="0.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customHeight="1" x14ac:dyDescent="0.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customHeight="1" x14ac:dyDescent="0.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customHeight="1" x14ac:dyDescent="0.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customHeight="1" x14ac:dyDescent="0.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customHeight="1" x14ac:dyDescent="0.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customHeight="1" x14ac:dyDescent="0.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customHeight="1" x14ac:dyDescent="0.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customHeight="1" x14ac:dyDescent="0.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customHeight="1" x14ac:dyDescent="0.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customHeight="1" x14ac:dyDescent="0.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customHeight="1" x14ac:dyDescent="0.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customHeight="1" x14ac:dyDescent="0.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customHeight="1" x14ac:dyDescent="0.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customHeight="1" x14ac:dyDescent="0.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customHeight="1" x14ac:dyDescent="0.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customHeight="1" x14ac:dyDescent="0.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customHeight="1" x14ac:dyDescent="0.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customHeight="1" x14ac:dyDescent="0.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customHeight="1" x14ac:dyDescent="0.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customHeight="1" x14ac:dyDescent="0.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customHeight="1" x14ac:dyDescent="0.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customHeight="1" x14ac:dyDescent="0.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customHeight="1" x14ac:dyDescent="0.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customHeight="1" x14ac:dyDescent="0.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customHeight="1" x14ac:dyDescent="0.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customHeight="1" x14ac:dyDescent="0.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customHeight="1" x14ac:dyDescent="0.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customHeight="1" x14ac:dyDescent="0.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customHeight="1" x14ac:dyDescent="0.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customHeight="1" x14ac:dyDescent="0.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customHeight="1" x14ac:dyDescent="0.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customHeight="1" x14ac:dyDescent="0.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customHeight="1" x14ac:dyDescent="0.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customHeight="1" x14ac:dyDescent="0.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customHeight="1" x14ac:dyDescent="0.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customHeight="1" x14ac:dyDescent="0.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customHeight="1" x14ac:dyDescent="0.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customHeight="1" x14ac:dyDescent="0.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customHeight="1" x14ac:dyDescent="0.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customHeight="1" x14ac:dyDescent="0.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customHeight="1" x14ac:dyDescent="0.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customHeight="1" x14ac:dyDescent="0.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customHeight="1" x14ac:dyDescent="0.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customHeight="1" x14ac:dyDescent="0.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customHeight="1" x14ac:dyDescent="0.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customHeight="1" x14ac:dyDescent="0.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customHeight="1" x14ac:dyDescent="0.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customHeight="1" x14ac:dyDescent="0.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customHeight="1" x14ac:dyDescent="0.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customHeight="1" x14ac:dyDescent="0.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customHeight="1" x14ac:dyDescent="0.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customHeight="1" x14ac:dyDescent="0.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customHeight="1" x14ac:dyDescent="0.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customHeight="1" x14ac:dyDescent="0.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customHeight="1" x14ac:dyDescent="0.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customHeight="1" x14ac:dyDescent="0.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customHeight="1" x14ac:dyDescent="0.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customHeight="1" x14ac:dyDescent="0.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customHeight="1" x14ac:dyDescent="0.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customHeight="1" x14ac:dyDescent="0.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customHeight="1" x14ac:dyDescent="0.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customHeight="1" x14ac:dyDescent="0.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customHeight="1" x14ac:dyDescent="0.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customHeight="1" x14ac:dyDescent="0.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customHeight="1" x14ac:dyDescent="0.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customHeight="1" x14ac:dyDescent="0.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customHeight="1" x14ac:dyDescent="0.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customHeight="1" x14ac:dyDescent="0.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customHeight="1" x14ac:dyDescent="0.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customHeight="1" x14ac:dyDescent="0.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customHeight="1" x14ac:dyDescent="0.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customHeight="1" x14ac:dyDescent="0.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customHeight="1" x14ac:dyDescent="0.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customHeight="1" x14ac:dyDescent="0.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customHeight="1" x14ac:dyDescent="0.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customHeight="1" x14ac:dyDescent="0.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customHeight="1" x14ac:dyDescent="0.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customHeight="1" x14ac:dyDescent="0.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customHeight="1" x14ac:dyDescent="0.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customHeight="1" x14ac:dyDescent="0.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customHeight="1" x14ac:dyDescent="0.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customHeight="1" x14ac:dyDescent="0.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customHeight="1" x14ac:dyDescent="0.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customHeight="1" x14ac:dyDescent="0.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customHeight="1" x14ac:dyDescent="0.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customHeight="1" x14ac:dyDescent="0.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customHeight="1" x14ac:dyDescent="0.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customHeight="1" x14ac:dyDescent="0.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customHeight="1" x14ac:dyDescent="0.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customHeight="1" x14ac:dyDescent="0.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customHeight="1" x14ac:dyDescent="0.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customHeight="1" x14ac:dyDescent="0.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customHeight="1" x14ac:dyDescent="0.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customHeight="1" x14ac:dyDescent="0.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customHeight="1" x14ac:dyDescent="0.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customHeight="1" x14ac:dyDescent="0.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customHeight="1" x14ac:dyDescent="0.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customHeight="1" x14ac:dyDescent="0.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customHeight="1" x14ac:dyDescent="0.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customHeight="1" x14ac:dyDescent="0.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customHeight="1" x14ac:dyDescent="0.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customHeight="1" x14ac:dyDescent="0.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customHeight="1" x14ac:dyDescent="0.2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customHeight="1" x14ac:dyDescent="0.2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customHeight="1" x14ac:dyDescent="0.2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customHeight="1" x14ac:dyDescent="0.2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customHeight="1" x14ac:dyDescent="0.2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customHeight="1" x14ac:dyDescent="0.2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customHeight="1" x14ac:dyDescent="0.2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customHeight="1" x14ac:dyDescent="0.2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customHeight="1" x14ac:dyDescent="0.2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customHeight="1" x14ac:dyDescent="0.2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customHeight="1" x14ac:dyDescent="0.2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customHeight="1" x14ac:dyDescent="0.2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customHeight="1" x14ac:dyDescent="0.2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75" customHeight="1" x14ac:dyDescent="0.2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75" customHeight="1" x14ac:dyDescent="0.2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75" customHeight="1" x14ac:dyDescent="0.2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75" customHeight="1" x14ac:dyDescent="0.2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75" customHeight="1" x14ac:dyDescent="0.2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75" customHeight="1" x14ac:dyDescent="0.2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75" customHeight="1" x14ac:dyDescent="0.2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75" customHeight="1" x14ac:dyDescent="0.2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75" customHeight="1" x14ac:dyDescent="0.2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2.75" customHeight="1" x14ac:dyDescent="0.2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2.75" customHeight="1" x14ac:dyDescent="0.2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A1:H2"/>
    <mergeCell ref="A3:B3"/>
    <mergeCell ref="D3:H3"/>
    <mergeCell ref="K3:N3"/>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5914ba8-9e4a-4224-9594-5062124be8f1" xsi:nil="true"/>
    <lcf76f155ced4ddcb4097134ff3c332f xmlns="cafc3e4c-b146-46b8-8a52-78ced9164e8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8F7411FF5BA04C8BB948E4423DB960" ma:contentTypeVersion="11" ma:contentTypeDescription="Create a new document." ma:contentTypeScope="" ma:versionID="713ce497b2b4d71f6b5d130b802d4e8d">
  <xsd:schema xmlns:xsd="http://www.w3.org/2001/XMLSchema" xmlns:xs="http://www.w3.org/2001/XMLSchema" xmlns:p="http://schemas.microsoft.com/office/2006/metadata/properties" xmlns:ns2="cafc3e4c-b146-46b8-8a52-78ced9164e87" xmlns:ns3="35914ba8-9e4a-4224-9594-5062124be8f1" targetNamespace="http://schemas.microsoft.com/office/2006/metadata/properties" ma:root="true" ma:fieldsID="b65c5356acc1011e5a91a9ea20701c21" ns2:_="" ns3:_="">
    <xsd:import namespace="cafc3e4c-b146-46b8-8a52-78ced9164e87"/>
    <xsd:import namespace="35914ba8-9e4a-4224-9594-5062124be8f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fc3e4c-b146-46b8-8a52-78ced9164e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5914ba8-9e4a-4224-9594-5062124be8f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3036bc52-4a51-452c-ad2d-608e46149e65}" ma:internalName="TaxCatchAll" ma:showField="CatchAllData" ma:web="35914ba8-9e4a-4224-9594-5062124be8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1E7A10-6C2D-4580-A4D2-EC7B8465FD38}">
  <ds:schemaRefs>
    <ds:schemaRef ds:uri="http://schemas.microsoft.com/sharepoint/v3/contenttype/forms"/>
  </ds:schemaRefs>
</ds:datastoreItem>
</file>

<file path=customXml/itemProps2.xml><?xml version="1.0" encoding="utf-8"?>
<ds:datastoreItem xmlns:ds="http://schemas.openxmlformats.org/officeDocument/2006/customXml" ds:itemID="{C5072705-B970-4C6A-9B95-6E8AEA4192EE}">
  <ds:schemaRefs>
    <ds:schemaRef ds:uri="http://schemas.microsoft.com/office/2006/metadata/properties"/>
    <ds:schemaRef ds:uri="http://schemas.openxmlformats.org/package/2006/metadata/core-properties"/>
    <ds:schemaRef ds:uri="http://www.w3.org/XML/1998/namespace"/>
    <ds:schemaRef ds:uri="http://purl.org/dc/dcmitype/"/>
    <ds:schemaRef ds:uri="http://purl.org/dc/terms/"/>
    <ds:schemaRef ds:uri="http://schemas.microsoft.com/office/2006/documentManagement/types"/>
    <ds:schemaRef ds:uri="http://schemas.microsoft.com/office/infopath/2007/PartnerControls"/>
    <ds:schemaRef ds:uri="35914ba8-9e4a-4224-9594-5062124be8f1"/>
    <ds:schemaRef ds:uri="cafc3e4c-b146-46b8-8a52-78ced9164e87"/>
    <ds:schemaRef ds:uri="http://purl.org/dc/elements/1.1/"/>
  </ds:schemaRefs>
</ds:datastoreItem>
</file>

<file path=customXml/itemProps3.xml><?xml version="1.0" encoding="utf-8"?>
<ds:datastoreItem xmlns:ds="http://schemas.openxmlformats.org/officeDocument/2006/customXml" ds:itemID="{F857123F-5748-48FA-AABF-F92B78DED1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fc3e4c-b146-46b8-8a52-78ced9164e87"/>
    <ds:schemaRef ds:uri="35914ba8-9e4a-4224-9594-5062124be8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Self-Assessment</vt:lpstr>
      <vt:lpstr>ASSESSMENT RUBRIC</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Grigg, Robert</dc:creator>
  <cp:keywords/>
  <dc:description/>
  <cp:lastModifiedBy>Abdo, Ibrahim (231018)</cp:lastModifiedBy>
  <cp:revision/>
  <dcterms:created xsi:type="dcterms:W3CDTF">2020-09-10T10:56:24Z</dcterms:created>
  <dcterms:modified xsi:type="dcterms:W3CDTF">2023-11-03T08:37:49Z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0x010100378F7411FF5BA04C8BB948E4423DB960</vt:lpwstr>
  </property>
  <property fmtid="{D5CDD505-2E9C-101B-9397-08002B2CF9AE}" pid="3" name="Order">
    <vt:r8>1900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